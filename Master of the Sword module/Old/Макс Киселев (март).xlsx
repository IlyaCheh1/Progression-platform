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chat\OneDrive\Рабочий стол\Мастер меча\Игроки\01 - Макс Киселев\"/>
    </mc:Choice>
  </mc:AlternateContent>
  <xr:revisionPtr revIDLastSave="0" documentId="13_ncr:1_{4FEF31BC-F6E2-4901-9A02-DAA76D09D3BE}" xr6:coauthVersionLast="47" xr6:coauthVersionMax="47" xr10:uidLastSave="{00000000-0000-0000-0000-000000000000}"/>
  <bookViews>
    <workbookView xWindow="-120" yWindow="-120" windowWidth="29040" windowHeight="15840" firstSheet="17" activeTab="30" xr2:uid="{00000000-000D-0000-FFFF-FFFF00000000}"/>
  </bookViews>
  <sheets>
    <sheet name="Лист1" sheetId="10" r:id="rId1"/>
    <sheet name="Лист2" sheetId="11" r:id="rId2"/>
    <sheet name="Лист3" sheetId="12" r:id="rId3"/>
    <sheet name="Лист4" sheetId="13" r:id="rId4"/>
    <sheet name="Лист5" sheetId="14" r:id="rId5"/>
    <sheet name="Лист6" sheetId="15" r:id="rId6"/>
    <sheet name="Лист7" sheetId="16" r:id="rId7"/>
    <sheet name="Лист8" sheetId="17" r:id="rId8"/>
    <sheet name="Лист9" sheetId="18" r:id="rId9"/>
    <sheet name="Лист10" sheetId="19" r:id="rId10"/>
    <sheet name="Лист11" sheetId="20" r:id="rId11"/>
    <sheet name="Лист12" sheetId="21" r:id="rId12"/>
    <sheet name="Лист13" sheetId="22" r:id="rId13"/>
    <sheet name="Лист14" sheetId="23" r:id="rId14"/>
    <sheet name="Лист15" sheetId="24" r:id="rId15"/>
    <sheet name="Лист16" sheetId="25" r:id="rId16"/>
    <sheet name="Лист17" sheetId="26" r:id="rId17"/>
    <sheet name="Лист18" sheetId="27" r:id="rId18"/>
    <sheet name="Лист19" sheetId="28" r:id="rId19"/>
    <sheet name="Лист20" sheetId="29" r:id="rId20"/>
    <sheet name="Лист21" sheetId="30" r:id="rId21"/>
    <sheet name="Лист22" sheetId="31" r:id="rId22"/>
    <sheet name="Лист23" sheetId="32" r:id="rId23"/>
    <sheet name="Лист24" sheetId="33" r:id="rId24"/>
    <sheet name="Лист25" sheetId="34" r:id="rId25"/>
    <sheet name="Лист26" sheetId="35" r:id="rId26"/>
    <sheet name="Лист27" sheetId="36" r:id="rId27"/>
    <sheet name="Лист28" sheetId="37" r:id="rId28"/>
    <sheet name="Лист29" sheetId="38" r:id="rId29"/>
    <sheet name="Лист30" sheetId="39" r:id="rId30"/>
    <sheet name="Лист31" sheetId="40" r:id="rId3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26" l="1"/>
  <c r="R36" i="26"/>
  <c r="D36" i="26"/>
  <c r="Y19" i="26"/>
  <c r="K19" i="26"/>
  <c r="K18" i="26"/>
  <c r="K35" i="23" l="1"/>
  <c r="Y36" i="20" l="1"/>
  <c r="R36" i="20"/>
  <c r="K36" i="20"/>
  <c r="D36" i="20"/>
  <c r="Y19" i="20"/>
  <c r="R19" i="20"/>
  <c r="K19" i="20"/>
  <c r="D19" i="20"/>
  <c r="Y19" i="17" l="1"/>
  <c r="R19" i="17"/>
  <c r="K19" i="17"/>
  <c r="D19" i="17"/>
  <c r="K33" i="40" l="1"/>
  <c r="K33" i="39"/>
  <c r="K33" i="38"/>
  <c r="K33" i="37"/>
  <c r="K33" i="36"/>
  <c r="K33" i="35"/>
  <c r="K33" i="34"/>
  <c r="K33" i="33"/>
  <c r="K33" i="32"/>
  <c r="K33" i="31"/>
  <c r="K33" i="30"/>
  <c r="K33" i="29"/>
  <c r="K33" i="28"/>
  <c r="K33" i="27"/>
  <c r="K33" i="25"/>
  <c r="K33" i="24"/>
  <c r="K33" i="22"/>
  <c r="K33" i="19"/>
  <c r="K33" i="18"/>
  <c r="K33" i="15"/>
  <c r="K33" i="14"/>
  <c r="K33" i="13"/>
  <c r="K33" i="12"/>
  <c r="K33" i="11"/>
  <c r="K33" i="10"/>
  <c r="AA32" i="40"/>
  <c r="AB32" i="40" s="1"/>
  <c r="T32" i="40"/>
  <c r="U32" i="40" s="1"/>
  <c r="M32" i="40"/>
  <c r="N32" i="40" s="1"/>
  <c r="F32" i="40"/>
  <c r="G32" i="40" s="1"/>
  <c r="AA31" i="40"/>
  <c r="AB31" i="40" s="1"/>
  <c r="T31" i="40"/>
  <c r="U31" i="40" s="1"/>
  <c r="M31" i="40"/>
  <c r="N31" i="40" s="1"/>
  <c r="F31" i="40"/>
  <c r="G31" i="40" s="1"/>
  <c r="AA30" i="40"/>
  <c r="AB30" i="40" s="1"/>
  <c r="T30" i="40"/>
  <c r="U30" i="40" s="1"/>
  <c r="M30" i="40"/>
  <c r="N30" i="40" s="1"/>
  <c r="F30" i="40"/>
  <c r="G30" i="40" s="1"/>
  <c r="AA29" i="40"/>
  <c r="AB29" i="40" s="1"/>
  <c r="T29" i="40"/>
  <c r="U29" i="40" s="1"/>
  <c r="M29" i="40"/>
  <c r="N29" i="40" s="1"/>
  <c r="F29" i="40"/>
  <c r="G29" i="40" s="1"/>
  <c r="AA28" i="40"/>
  <c r="AB28" i="40" s="1"/>
  <c r="T28" i="40"/>
  <c r="U28" i="40" s="1"/>
  <c r="M28" i="40"/>
  <c r="N28" i="40" s="1"/>
  <c r="F28" i="40"/>
  <c r="G28" i="40" s="1"/>
  <c r="AA27" i="40"/>
  <c r="AB27" i="40" s="1"/>
  <c r="T27" i="40"/>
  <c r="U27" i="40" s="1"/>
  <c r="M27" i="40"/>
  <c r="N27" i="40" s="1"/>
  <c r="F27" i="40"/>
  <c r="G27" i="40" s="1"/>
  <c r="AA26" i="40"/>
  <c r="AB26" i="40" s="1"/>
  <c r="T26" i="40"/>
  <c r="U26" i="40" s="1"/>
  <c r="M26" i="40"/>
  <c r="N26" i="40" s="1"/>
  <c r="F26" i="40"/>
  <c r="G26" i="40" s="1"/>
  <c r="AA25" i="40"/>
  <c r="AB25" i="40" s="1"/>
  <c r="T25" i="40"/>
  <c r="U25" i="40" s="1"/>
  <c r="M25" i="40"/>
  <c r="N25" i="40" s="1"/>
  <c r="F25" i="40"/>
  <c r="G25" i="40" s="1"/>
  <c r="AA24" i="40"/>
  <c r="AB24" i="40" s="1"/>
  <c r="T24" i="40"/>
  <c r="U24" i="40" s="1"/>
  <c r="M24" i="40"/>
  <c r="N24" i="40" s="1"/>
  <c r="F24" i="40"/>
  <c r="G24" i="40" s="1"/>
  <c r="AA23" i="40"/>
  <c r="AB23" i="40" s="1"/>
  <c r="T23" i="40"/>
  <c r="U23" i="40" s="1"/>
  <c r="M23" i="40"/>
  <c r="N23" i="40" s="1"/>
  <c r="F23" i="40"/>
  <c r="G23" i="40" s="1"/>
  <c r="AA15" i="40"/>
  <c r="AB15" i="40" s="1"/>
  <c r="T15" i="40"/>
  <c r="U15" i="40" s="1"/>
  <c r="M15" i="40"/>
  <c r="N15" i="40" s="1"/>
  <c r="F15" i="40"/>
  <c r="G15" i="40" s="1"/>
  <c r="AA14" i="40"/>
  <c r="AB14" i="40" s="1"/>
  <c r="T14" i="40"/>
  <c r="U14" i="40" s="1"/>
  <c r="M14" i="40"/>
  <c r="N14" i="40" s="1"/>
  <c r="F14" i="40"/>
  <c r="G14" i="40" s="1"/>
  <c r="AA13" i="40"/>
  <c r="AB13" i="40" s="1"/>
  <c r="T13" i="40"/>
  <c r="U13" i="40" s="1"/>
  <c r="M13" i="40"/>
  <c r="N13" i="40" s="1"/>
  <c r="F13" i="40"/>
  <c r="G13" i="40" s="1"/>
  <c r="AA12" i="40"/>
  <c r="AB12" i="40" s="1"/>
  <c r="T12" i="40"/>
  <c r="U12" i="40" s="1"/>
  <c r="M12" i="40"/>
  <c r="N12" i="40" s="1"/>
  <c r="F12" i="40"/>
  <c r="G12" i="40" s="1"/>
  <c r="AA11" i="40"/>
  <c r="AB11" i="40" s="1"/>
  <c r="T11" i="40"/>
  <c r="U11" i="40" s="1"/>
  <c r="M11" i="40"/>
  <c r="N11" i="40" s="1"/>
  <c r="F11" i="40"/>
  <c r="G11" i="40" s="1"/>
  <c r="AA10" i="40"/>
  <c r="AB10" i="40" s="1"/>
  <c r="T10" i="40"/>
  <c r="U10" i="40" s="1"/>
  <c r="M10" i="40"/>
  <c r="N10" i="40" s="1"/>
  <c r="F10" i="40"/>
  <c r="G10" i="40" s="1"/>
  <c r="AA9" i="40"/>
  <c r="AB9" i="40" s="1"/>
  <c r="T9" i="40"/>
  <c r="U9" i="40" s="1"/>
  <c r="M9" i="40"/>
  <c r="N9" i="40" s="1"/>
  <c r="F9" i="40"/>
  <c r="G9" i="40" s="1"/>
  <c r="AA8" i="40"/>
  <c r="AB8" i="40" s="1"/>
  <c r="T8" i="40"/>
  <c r="U8" i="40" s="1"/>
  <c r="M8" i="40"/>
  <c r="N8" i="40" s="1"/>
  <c r="F8" i="40"/>
  <c r="G8" i="40" s="1"/>
  <c r="AA7" i="40"/>
  <c r="AB7" i="40" s="1"/>
  <c r="T7" i="40"/>
  <c r="U7" i="40" s="1"/>
  <c r="M7" i="40"/>
  <c r="N7" i="40" s="1"/>
  <c r="F7" i="40"/>
  <c r="G7" i="40" s="1"/>
  <c r="AA6" i="40"/>
  <c r="AB6" i="40" s="1"/>
  <c r="T6" i="40"/>
  <c r="U6" i="40" s="1"/>
  <c r="M6" i="40"/>
  <c r="N6" i="40" s="1"/>
  <c r="N16" i="40" s="1"/>
  <c r="N17" i="40" s="1"/>
  <c r="M18" i="40" s="1"/>
  <c r="F6" i="40"/>
  <c r="G6" i="40" s="1"/>
  <c r="AA32" i="39"/>
  <c r="AB32" i="39" s="1"/>
  <c r="T32" i="39"/>
  <c r="U32" i="39" s="1"/>
  <c r="M32" i="39"/>
  <c r="N32" i="39" s="1"/>
  <c r="F32" i="39"/>
  <c r="G32" i="39" s="1"/>
  <c r="AA31" i="39"/>
  <c r="AB31" i="39" s="1"/>
  <c r="T31" i="39"/>
  <c r="U31" i="39" s="1"/>
  <c r="N31" i="39"/>
  <c r="M31" i="39"/>
  <c r="F31" i="39"/>
  <c r="G31" i="39" s="1"/>
  <c r="AA30" i="39"/>
  <c r="AB30" i="39" s="1"/>
  <c r="T30" i="39"/>
  <c r="U30" i="39" s="1"/>
  <c r="M30" i="39"/>
  <c r="N30" i="39" s="1"/>
  <c r="F30" i="39"/>
  <c r="G30" i="39" s="1"/>
  <c r="AA29" i="39"/>
  <c r="AB29" i="39" s="1"/>
  <c r="T29" i="39"/>
  <c r="U29" i="39" s="1"/>
  <c r="N29" i="39"/>
  <c r="M29" i="39"/>
  <c r="F29" i="39"/>
  <c r="G29" i="39" s="1"/>
  <c r="AA28" i="39"/>
  <c r="AB28" i="39" s="1"/>
  <c r="T28" i="39"/>
  <c r="U28" i="39" s="1"/>
  <c r="M28" i="39"/>
  <c r="N28" i="39" s="1"/>
  <c r="F28" i="39"/>
  <c r="G28" i="39" s="1"/>
  <c r="AA27" i="39"/>
  <c r="AB27" i="39" s="1"/>
  <c r="T27" i="39"/>
  <c r="U27" i="39" s="1"/>
  <c r="N27" i="39"/>
  <c r="M27" i="39"/>
  <c r="F27" i="39"/>
  <c r="G27" i="39" s="1"/>
  <c r="AA26" i="39"/>
  <c r="AB26" i="39" s="1"/>
  <c r="T26" i="39"/>
  <c r="U26" i="39" s="1"/>
  <c r="M26" i="39"/>
  <c r="N26" i="39" s="1"/>
  <c r="F26" i="39"/>
  <c r="G26" i="39" s="1"/>
  <c r="AA25" i="39"/>
  <c r="AB25" i="39" s="1"/>
  <c r="T25" i="39"/>
  <c r="U25" i="39" s="1"/>
  <c r="N25" i="39"/>
  <c r="M25" i="39"/>
  <c r="F25" i="39"/>
  <c r="G25" i="39" s="1"/>
  <c r="AA24" i="39"/>
  <c r="AB24" i="39" s="1"/>
  <c r="T24" i="39"/>
  <c r="U24" i="39" s="1"/>
  <c r="M24" i="39"/>
  <c r="N24" i="39" s="1"/>
  <c r="F24" i="39"/>
  <c r="G24" i="39" s="1"/>
  <c r="AA23" i="39"/>
  <c r="AB23" i="39" s="1"/>
  <c r="T23" i="39"/>
  <c r="T33" i="39" s="1"/>
  <c r="N23" i="39"/>
  <c r="M23" i="39"/>
  <c r="M33" i="39" s="1"/>
  <c r="F23" i="39"/>
  <c r="G23" i="39" s="1"/>
  <c r="AA15" i="39"/>
  <c r="AB15" i="39" s="1"/>
  <c r="T15" i="39"/>
  <c r="U15" i="39" s="1"/>
  <c r="M15" i="39"/>
  <c r="N15" i="39" s="1"/>
  <c r="F15" i="39"/>
  <c r="G15" i="39" s="1"/>
  <c r="AA14" i="39"/>
  <c r="AB14" i="39" s="1"/>
  <c r="T14" i="39"/>
  <c r="U14" i="39" s="1"/>
  <c r="N14" i="39"/>
  <c r="M14" i="39"/>
  <c r="F14" i="39"/>
  <c r="G14" i="39" s="1"/>
  <c r="AA13" i="39"/>
  <c r="AB13" i="39" s="1"/>
  <c r="T13" i="39"/>
  <c r="U13" i="39" s="1"/>
  <c r="M13" i="39"/>
  <c r="N13" i="39" s="1"/>
  <c r="F13" i="39"/>
  <c r="G13" i="39" s="1"/>
  <c r="AA12" i="39"/>
  <c r="AB12" i="39" s="1"/>
  <c r="T12" i="39"/>
  <c r="U12" i="39" s="1"/>
  <c r="N12" i="39"/>
  <c r="M12" i="39"/>
  <c r="F12" i="39"/>
  <c r="G12" i="39" s="1"/>
  <c r="AA11" i="39"/>
  <c r="AB11" i="39" s="1"/>
  <c r="T11" i="39"/>
  <c r="U11" i="39" s="1"/>
  <c r="M11" i="39"/>
  <c r="N11" i="39" s="1"/>
  <c r="F11" i="39"/>
  <c r="G11" i="39" s="1"/>
  <c r="AA10" i="39"/>
  <c r="AB10" i="39" s="1"/>
  <c r="T10" i="39"/>
  <c r="U10" i="39" s="1"/>
  <c r="N10" i="39"/>
  <c r="M10" i="39"/>
  <c r="F10" i="39"/>
  <c r="G10" i="39" s="1"/>
  <c r="AA9" i="39"/>
  <c r="AB9" i="39" s="1"/>
  <c r="T9" i="39"/>
  <c r="U9" i="39" s="1"/>
  <c r="M9" i="39"/>
  <c r="N9" i="39" s="1"/>
  <c r="F9" i="39"/>
  <c r="G9" i="39" s="1"/>
  <c r="AA8" i="39"/>
  <c r="AB8" i="39" s="1"/>
  <c r="T8" i="39"/>
  <c r="U8" i="39" s="1"/>
  <c r="N8" i="39"/>
  <c r="M8" i="39"/>
  <c r="F8" i="39"/>
  <c r="G8" i="39" s="1"/>
  <c r="AA7" i="39"/>
  <c r="AB7" i="39" s="1"/>
  <c r="T7" i="39"/>
  <c r="U7" i="39" s="1"/>
  <c r="M7" i="39"/>
  <c r="N7" i="39" s="1"/>
  <c r="F7" i="39"/>
  <c r="G7" i="39" s="1"/>
  <c r="AA6" i="39"/>
  <c r="AB6" i="39" s="1"/>
  <c r="T6" i="39"/>
  <c r="U6" i="39" s="1"/>
  <c r="N6" i="39"/>
  <c r="M6" i="39"/>
  <c r="M16" i="39" s="1"/>
  <c r="F6" i="39"/>
  <c r="G6" i="39" s="1"/>
  <c r="AA32" i="38"/>
  <c r="AB32" i="38" s="1"/>
  <c r="T32" i="38"/>
  <c r="U32" i="38" s="1"/>
  <c r="M32" i="38"/>
  <c r="N32" i="38" s="1"/>
  <c r="F32" i="38"/>
  <c r="G32" i="38" s="1"/>
  <c r="AA31" i="38"/>
  <c r="AB31" i="38" s="1"/>
  <c r="T31" i="38"/>
  <c r="U31" i="38" s="1"/>
  <c r="N31" i="38"/>
  <c r="M31" i="38"/>
  <c r="F31" i="38"/>
  <c r="G31" i="38" s="1"/>
  <c r="AA30" i="38"/>
  <c r="AB30" i="38" s="1"/>
  <c r="T30" i="38"/>
  <c r="U30" i="38" s="1"/>
  <c r="M30" i="38"/>
  <c r="N30" i="38" s="1"/>
  <c r="F30" i="38"/>
  <c r="G30" i="38" s="1"/>
  <c r="AA29" i="38"/>
  <c r="AB29" i="38" s="1"/>
  <c r="T29" i="38"/>
  <c r="U29" i="38" s="1"/>
  <c r="N29" i="38"/>
  <c r="M29" i="38"/>
  <c r="F29" i="38"/>
  <c r="G29" i="38" s="1"/>
  <c r="AA28" i="38"/>
  <c r="AB28" i="38" s="1"/>
  <c r="T28" i="38"/>
  <c r="U28" i="38" s="1"/>
  <c r="M28" i="38"/>
  <c r="N28" i="38" s="1"/>
  <c r="F28" i="38"/>
  <c r="G28" i="38" s="1"/>
  <c r="AA27" i="38"/>
  <c r="AB27" i="38" s="1"/>
  <c r="T27" i="38"/>
  <c r="U27" i="38" s="1"/>
  <c r="N27" i="38"/>
  <c r="M27" i="38"/>
  <c r="F27" i="38"/>
  <c r="G27" i="38" s="1"/>
  <c r="AA26" i="38"/>
  <c r="AB26" i="38" s="1"/>
  <c r="T26" i="38"/>
  <c r="U26" i="38" s="1"/>
  <c r="M26" i="38"/>
  <c r="N26" i="38" s="1"/>
  <c r="F26" i="38"/>
  <c r="G26" i="38" s="1"/>
  <c r="AA25" i="38"/>
  <c r="AB25" i="38" s="1"/>
  <c r="T25" i="38"/>
  <c r="U25" i="38" s="1"/>
  <c r="N25" i="38"/>
  <c r="M25" i="38"/>
  <c r="F25" i="38"/>
  <c r="G25" i="38" s="1"/>
  <c r="AA24" i="38"/>
  <c r="AB24" i="38" s="1"/>
  <c r="T24" i="38"/>
  <c r="U24" i="38" s="1"/>
  <c r="M24" i="38"/>
  <c r="N24" i="38" s="1"/>
  <c r="F24" i="38"/>
  <c r="G24" i="38" s="1"/>
  <c r="AA23" i="38"/>
  <c r="AB23" i="38" s="1"/>
  <c r="T23" i="38"/>
  <c r="U23" i="38" s="1"/>
  <c r="N23" i="38"/>
  <c r="M23" i="38"/>
  <c r="M33" i="38" s="1"/>
  <c r="F23" i="38"/>
  <c r="G23" i="38" s="1"/>
  <c r="AA15" i="38"/>
  <c r="AB15" i="38" s="1"/>
  <c r="T15" i="38"/>
  <c r="U15" i="38" s="1"/>
  <c r="M15" i="38"/>
  <c r="N15" i="38" s="1"/>
  <c r="F15" i="38"/>
  <c r="G15" i="38" s="1"/>
  <c r="AA14" i="38"/>
  <c r="AB14" i="38" s="1"/>
  <c r="T14" i="38"/>
  <c r="U14" i="38" s="1"/>
  <c r="N14" i="38"/>
  <c r="M14" i="38"/>
  <c r="F14" i="38"/>
  <c r="G14" i="38" s="1"/>
  <c r="AA13" i="38"/>
  <c r="AB13" i="38" s="1"/>
  <c r="T13" i="38"/>
  <c r="U13" i="38" s="1"/>
  <c r="M13" i="38"/>
  <c r="N13" i="38" s="1"/>
  <c r="F13" i="38"/>
  <c r="G13" i="38" s="1"/>
  <c r="AA12" i="38"/>
  <c r="AB12" i="38" s="1"/>
  <c r="T12" i="38"/>
  <c r="U12" i="38" s="1"/>
  <c r="N12" i="38"/>
  <c r="M12" i="38"/>
  <c r="F12" i="38"/>
  <c r="G12" i="38" s="1"/>
  <c r="AA11" i="38"/>
  <c r="AB11" i="38" s="1"/>
  <c r="T11" i="38"/>
  <c r="U11" i="38" s="1"/>
  <c r="M11" i="38"/>
  <c r="N11" i="38" s="1"/>
  <c r="F11" i="38"/>
  <c r="G11" i="38" s="1"/>
  <c r="AA10" i="38"/>
  <c r="AB10" i="38" s="1"/>
  <c r="T10" i="38"/>
  <c r="U10" i="38" s="1"/>
  <c r="N10" i="38"/>
  <c r="M10" i="38"/>
  <c r="F10" i="38"/>
  <c r="G10" i="38" s="1"/>
  <c r="AA9" i="38"/>
  <c r="AB9" i="38" s="1"/>
  <c r="T9" i="38"/>
  <c r="U9" i="38" s="1"/>
  <c r="M9" i="38"/>
  <c r="N9" i="38" s="1"/>
  <c r="F9" i="38"/>
  <c r="G9" i="38" s="1"/>
  <c r="AA8" i="38"/>
  <c r="AB8" i="38" s="1"/>
  <c r="T8" i="38"/>
  <c r="U8" i="38" s="1"/>
  <c r="N8" i="38"/>
  <c r="M8" i="38"/>
  <c r="F8" i="38"/>
  <c r="G8" i="38" s="1"/>
  <c r="AA7" i="38"/>
  <c r="AB7" i="38" s="1"/>
  <c r="T7" i="38"/>
  <c r="U7" i="38" s="1"/>
  <c r="M7" i="38"/>
  <c r="N7" i="38" s="1"/>
  <c r="F7" i="38"/>
  <c r="G7" i="38" s="1"/>
  <c r="AA6" i="38"/>
  <c r="AB6" i="38" s="1"/>
  <c r="T6" i="38"/>
  <c r="U6" i="38" s="1"/>
  <c r="N6" i="38"/>
  <c r="M6" i="38"/>
  <c r="M16" i="38" s="1"/>
  <c r="F6" i="38"/>
  <c r="G6" i="38" s="1"/>
  <c r="AA32" i="37"/>
  <c r="AB32" i="37" s="1"/>
  <c r="T32" i="37"/>
  <c r="U32" i="37" s="1"/>
  <c r="M32" i="37"/>
  <c r="N32" i="37" s="1"/>
  <c r="F32" i="37"/>
  <c r="G32" i="37" s="1"/>
  <c r="AA31" i="37"/>
  <c r="AB31" i="37" s="1"/>
  <c r="T31" i="37"/>
  <c r="U31" i="37" s="1"/>
  <c r="N31" i="37"/>
  <c r="M31" i="37"/>
  <c r="F31" i="37"/>
  <c r="G31" i="37" s="1"/>
  <c r="AA30" i="37"/>
  <c r="AB30" i="37" s="1"/>
  <c r="T30" i="37"/>
  <c r="U30" i="37" s="1"/>
  <c r="M30" i="37"/>
  <c r="N30" i="37" s="1"/>
  <c r="F30" i="37"/>
  <c r="G30" i="37" s="1"/>
  <c r="AA29" i="37"/>
  <c r="AB29" i="37" s="1"/>
  <c r="T29" i="37"/>
  <c r="U29" i="37" s="1"/>
  <c r="N29" i="37"/>
  <c r="M29" i="37"/>
  <c r="F29" i="37"/>
  <c r="G29" i="37" s="1"/>
  <c r="AA28" i="37"/>
  <c r="AB28" i="37" s="1"/>
  <c r="T28" i="37"/>
  <c r="U28" i="37" s="1"/>
  <c r="M28" i="37"/>
  <c r="N28" i="37" s="1"/>
  <c r="F28" i="37"/>
  <c r="G28" i="37" s="1"/>
  <c r="AA27" i="37"/>
  <c r="AB27" i="37" s="1"/>
  <c r="T27" i="37"/>
  <c r="U27" i="37" s="1"/>
  <c r="N27" i="37"/>
  <c r="M27" i="37"/>
  <c r="F27" i="37"/>
  <c r="G27" i="37" s="1"/>
  <c r="AA26" i="37"/>
  <c r="AB26" i="37" s="1"/>
  <c r="T26" i="37"/>
  <c r="U26" i="37" s="1"/>
  <c r="M26" i="37"/>
  <c r="N26" i="37" s="1"/>
  <c r="F26" i="37"/>
  <c r="G26" i="37" s="1"/>
  <c r="AA25" i="37"/>
  <c r="AB25" i="37" s="1"/>
  <c r="T25" i="37"/>
  <c r="U25" i="37" s="1"/>
  <c r="N25" i="37"/>
  <c r="M25" i="37"/>
  <c r="F25" i="37"/>
  <c r="G25" i="37" s="1"/>
  <c r="AA24" i="37"/>
  <c r="AB24" i="37" s="1"/>
  <c r="T24" i="37"/>
  <c r="U24" i="37" s="1"/>
  <c r="M24" i="37"/>
  <c r="N24" i="37" s="1"/>
  <c r="F24" i="37"/>
  <c r="G24" i="37" s="1"/>
  <c r="AA23" i="37"/>
  <c r="AB23" i="37" s="1"/>
  <c r="T23" i="37"/>
  <c r="U23" i="37" s="1"/>
  <c r="N23" i="37"/>
  <c r="M23" i="37"/>
  <c r="M33" i="37" s="1"/>
  <c r="F23" i="37"/>
  <c r="G23" i="37" s="1"/>
  <c r="AA15" i="37"/>
  <c r="AB15" i="37" s="1"/>
  <c r="T15" i="37"/>
  <c r="U15" i="37" s="1"/>
  <c r="M15" i="37"/>
  <c r="N15" i="37" s="1"/>
  <c r="F15" i="37"/>
  <c r="G15" i="37" s="1"/>
  <c r="AA14" i="37"/>
  <c r="AB14" i="37" s="1"/>
  <c r="T14" i="37"/>
  <c r="U14" i="37" s="1"/>
  <c r="N14" i="37"/>
  <c r="M14" i="37"/>
  <c r="F14" i="37"/>
  <c r="G14" i="37" s="1"/>
  <c r="AA13" i="37"/>
  <c r="AB13" i="37" s="1"/>
  <c r="T13" i="37"/>
  <c r="U13" i="37" s="1"/>
  <c r="M13" i="37"/>
  <c r="N13" i="37" s="1"/>
  <c r="F13" i="37"/>
  <c r="G13" i="37" s="1"/>
  <c r="AA12" i="37"/>
  <c r="AB12" i="37" s="1"/>
  <c r="T12" i="37"/>
  <c r="U12" i="37" s="1"/>
  <c r="N12" i="37"/>
  <c r="M12" i="37"/>
  <c r="F12" i="37"/>
  <c r="G12" i="37" s="1"/>
  <c r="AA11" i="37"/>
  <c r="AB11" i="37" s="1"/>
  <c r="T11" i="37"/>
  <c r="U11" i="37" s="1"/>
  <c r="M11" i="37"/>
  <c r="N11" i="37" s="1"/>
  <c r="F11" i="37"/>
  <c r="G11" i="37" s="1"/>
  <c r="AA10" i="37"/>
  <c r="AB10" i="37" s="1"/>
  <c r="T10" i="37"/>
  <c r="U10" i="37" s="1"/>
  <c r="N10" i="37"/>
  <c r="M10" i="37"/>
  <c r="F10" i="37"/>
  <c r="G10" i="37" s="1"/>
  <c r="AA9" i="37"/>
  <c r="AB9" i="37" s="1"/>
  <c r="T9" i="37"/>
  <c r="U9" i="37" s="1"/>
  <c r="M9" i="37"/>
  <c r="N9" i="37" s="1"/>
  <c r="F9" i="37"/>
  <c r="G9" i="37" s="1"/>
  <c r="AA8" i="37"/>
  <c r="AB8" i="37" s="1"/>
  <c r="T8" i="37"/>
  <c r="U8" i="37" s="1"/>
  <c r="N8" i="37"/>
  <c r="M8" i="37"/>
  <c r="F8" i="37"/>
  <c r="G8" i="37" s="1"/>
  <c r="AA7" i="37"/>
  <c r="AB7" i="37" s="1"/>
  <c r="T7" i="37"/>
  <c r="U7" i="37" s="1"/>
  <c r="M7" i="37"/>
  <c r="N7" i="37" s="1"/>
  <c r="F7" i="37"/>
  <c r="G7" i="37" s="1"/>
  <c r="AA6" i="37"/>
  <c r="AB6" i="37" s="1"/>
  <c r="T6" i="37"/>
  <c r="U6" i="37" s="1"/>
  <c r="N6" i="37"/>
  <c r="M6" i="37"/>
  <c r="M16" i="37" s="1"/>
  <c r="F6" i="37"/>
  <c r="G6" i="37" s="1"/>
  <c r="AA32" i="36"/>
  <c r="AB32" i="36" s="1"/>
  <c r="T32" i="36"/>
  <c r="U32" i="36" s="1"/>
  <c r="N32" i="36"/>
  <c r="M32" i="36"/>
  <c r="F32" i="36"/>
  <c r="G32" i="36" s="1"/>
  <c r="AA31" i="36"/>
  <c r="AB31" i="36" s="1"/>
  <c r="T31" i="36"/>
  <c r="U31" i="36" s="1"/>
  <c r="N31" i="36"/>
  <c r="M31" i="36"/>
  <c r="F31" i="36"/>
  <c r="G31" i="36" s="1"/>
  <c r="AA30" i="36"/>
  <c r="AB30" i="36" s="1"/>
  <c r="T30" i="36"/>
  <c r="U30" i="36" s="1"/>
  <c r="N30" i="36"/>
  <c r="M30" i="36"/>
  <c r="F30" i="36"/>
  <c r="G30" i="36" s="1"/>
  <c r="AA29" i="36"/>
  <c r="AB29" i="36" s="1"/>
  <c r="T29" i="36"/>
  <c r="U29" i="36" s="1"/>
  <c r="N29" i="36"/>
  <c r="M29" i="36"/>
  <c r="F29" i="36"/>
  <c r="G29" i="36" s="1"/>
  <c r="AA28" i="36"/>
  <c r="AB28" i="36" s="1"/>
  <c r="T28" i="36"/>
  <c r="U28" i="36" s="1"/>
  <c r="N28" i="36"/>
  <c r="M28" i="36"/>
  <c r="F28" i="36"/>
  <c r="G28" i="36" s="1"/>
  <c r="AA27" i="36"/>
  <c r="AB27" i="36" s="1"/>
  <c r="T27" i="36"/>
  <c r="U27" i="36" s="1"/>
  <c r="N27" i="36"/>
  <c r="M27" i="36"/>
  <c r="F27" i="36"/>
  <c r="G27" i="36" s="1"/>
  <c r="AA26" i="36"/>
  <c r="AB26" i="36" s="1"/>
  <c r="T26" i="36"/>
  <c r="U26" i="36" s="1"/>
  <c r="N26" i="36"/>
  <c r="M26" i="36"/>
  <c r="F26" i="36"/>
  <c r="G26" i="36" s="1"/>
  <c r="AA25" i="36"/>
  <c r="AB25" i="36" s="1"/>
  <c r="T25" i="36"/>
  <c r="U25" i="36" s="1"/>
  <c r="N25" i="36"/>
  <c r="M25" i="36"/>
  <c r="F25" i="36"/>
  <c r="G25" i="36" s="1"/>
  <c r="AA24" i="36"/>
  <c r="AB24" i="36" s="1"/>
  <c r="T24" i="36"/>
  <c r="U24" i="36" s="1"/>
  <c r="N24" i="36"/>
  <c r="M24" i="36"/>
  <c r="F24" i="36"/>
  <c r="G24" i="36" s="1"/>
  <c r="AA23" i="36"/>
  <c r="AB23" i="36" s="1"/>
  <c r="T23" i="36"/>
  <c r="T33" i="36" s="1"/>
  <c r="N23" i="36"/>
  <c r="N33" i="36" s="1"/>
  <c r="N34" i="36" s="1"/>
  <c r="M35" i="36" s="1"/>
  <c r="M23" i="36"/>
  <c r="M33" i="36" s="1"/>
  <c r="F23" i="36"/>
  <c r="G23" i="36" s="1"/>
  <c r="AA15" i="36"/>
  <c r="AB15" i="36" s="1"/>
  <c r="T15" i="36"/>
  <c r="U15" i="36" s="1"/>
  <c r="N15" i="36"/>
  <c r="M15" i="36"/>
  <c r="F15" i="36"/>
  <c r="G15" i="36" s="1"/>
  <c r="AA14" i="36"/>
  <c r="AB14" i="36" s="1"/>
  <c r="T14" i="36"/>
  <c r="U14" i="36" s="1"/>
  <c r="N14" i="36"/>
  <c r="M14" i="36"/>
  <c r="F14" i="36"/>
  <c r="G14" i="36" s="1"/>
  <c r="AA13" i="36"/>
  <c r="AB13" i="36" s="1"/>
  <c r="T13" i="36"/>
  <c r="U13" i="36" s="1"/>
  <c r="N13" i="36"/>
  <c r="M13" i="36"/>
  <c r="F13" i="36"/>
  <c r="G13" i="36" s="1"/>
  <c r="AA12" i="36"/>
  <c r="AB12" i="36" s="1"/>
  <c r="T12" i="36"/>
  <c r="U12" i="36" s="1"/>
  <c r="N12" i="36"/>
  <c r="M12" i="36"/>
  <c r="F12" i="36"/>
  <c r="G12" i="36" s="1"/>
  <c r="AA11" i="36"/>
  <c r="AB11" i="36" s="1"/>
  <c r="T11" i="36"/>
  <c r="U11" i="36" s="1"/>
  <c r="N11" i="36"/>
  <c r="M11" i="36"/>
  <c r="F11" i="36"/>
  <c r="G11" i="36" s="1"/>
  <c r="AA10" i="36"/>
  <c r="AB10" i="36" s="1"/>
  <c r="T10" i="36"/>
  <c r="U10" i="36" s="1"/>
  <c r="N10" i="36"/>
  <c r="M10" i="36"/>
  <c r="F10" i="36"/>
  <c r="G10" i="36" s="1"/>
  <c r="AA9" i="36"/>
  <c r="AB9" i="36" s="1"/>
  <c r="T9" i="36"/>
  <c r="U9" i="36" s="1"/>
  <c r="N9" i="36"/>
  <c r="M9" i="36"/>
  <c r="F9" i="36"/>
  <c r="G9" i="36" s="1"/>
  <c r="AA8" i="36"/>
  <c r="AB8" i="36" s="1"/>
  <c r="T8" i="36"/>
  <c r="T16" i="36" s="1"/>
  <c r="N8" i="36"/>
  <c r="M8" i="36"/>
  <c r="F8" i="36"/>
  <c r="G8" i="36" s="1"/>
  <c r="AA7" i="36"/>
  <c r="AB7" i="36" s="1"/>
  <c r="T7" i="36"/>
  <c r="U7" i="36" s="1"/>
  <c r="N7" i="36"/>
  <c r="M7" i="36"/>
  <c r="F7" i="36"/>
  <c r="G7" i="36" s="1"/>
  <c r="AA6" i="36"/>
  <c r="AB6" i="36" s="1"/>
  <c r="T6" i="36"/>
  <c r="U6" i="36" s="1"/>
  <c r="N6" i="36"/>
  <c r="N16" i="36" s="1"/>
  <c r="N17" i="36" s="1"/>
  <c r="M18" i="36" s="1"/>
  <c r="M6" i="36"/>
  <c r="M16" i="36" s="1"/>
  <c r="F6" i="36"/>
  <c r="G6" i="36" s="1"/>
  <c r="AA32" i="35"/>
  <c r="AB32" i="35" s="1"/>
  <c r="T32" i="35"/>
  <c r="U32" i="35" s="1"/>
  <c r="M32" i="35"/>
  <c r="N32" i="35" s="1"/>
  <c r="F32" i="35"/>
  <c r="G32" i="35" s="1"/>
  <c r="AA31" i="35"/>
  <c r="AB31" i="35" s="1"/>
  <c r="T31" i="35"/>
  <c r="U31" i="35" s="1"/>
  <c r="M31" i="35"/>
  <c r="N31" i="35" s="1"/>
  <c r="F31" i="35"/>
  <c r="G31" i="35" s="1"/>
  <c r="AA30" i="35"/>
  <c r="AB30" i="35" s="1"/>
  <c r="T30" i="35"/>
  <c r="U30" i="35" s="1"/>
  <c r="M30" i="35"/>
  <c r="N30" i="35" s="1"/>
  <c r="F30" i="35"/>
  <c r="G30" i="35" s="1"/>
  <c r="AA29" i="35"/>
  <c r="AB29" i="35" s="1"/>
  <c r="T29" i="35"/>
  <c r="U29" i="35" s="1"/>
  <c r="M29" i="35"/>
  <c r="N29" i="35" s="1"/>
  <c r="F29" i="35"/>
  <c r="G29" i="35" s="1"/>
  <c r="AA28" i="35"/>
  <c r="AB28" i="35" s="1"/>
  <c r="T28" i="35"/>
  <c r="U28" i="35" s="1"/>
  <c r="M28" i="35"/>
  <c r="N28" i="35" s="1"/>
  <c r="F28" i="35"/>
  <c r="G28" i="35" s="1"/>
  <c r="AA27" i="35"/>
  <c r="AB27" i="35" s="1"/>
  <c r="T27" i="35"/>
  <c r="U27" i="35" s="1"/>
  <c r="M27" i="35"/>
  <c r="N27" i="35" s="1"/>
  <c r="F27" i="35"/>
  <c r="G27" i="35" s="1"/>
  <c r="AA26" i="35"/>
  <c r="AB26" i="35" s="1"/>
  <c r="T26" i="35"/>
  <c r="U26" i="35" s="1"/>
  <c r="M26" i="35"/>
  <c r="N26" i="35" s="1"/>
  <c r="F26" i="35"/>
  <c r="G26" i="35" s="1"/>
  <c r="AA25" i="35"/>
  <c r="AB25" i="35" s="1"/>
  <c r="T25" i="35"/>
  <c r="U25" i="35" s="1"/>
  <c r="M25" i="35"/>
  <c r="N25" i="35" s="1"/>
  <c r="F25" i="35"/>
  <c r="G25" i="35" s="1"/>
  <c r="AA24" i="35"/>
  <c r="AB24" i="35" s="1"/>
  <c r="T24" i="35"/>
  <c r="U24" i="35" s="1"/>
  <c r="M24" i="35"/>
  <c r="N24" i="35" s="1"/>
  <c r="F24" i="35"/>
  <c r="G24" i="35" s="1"/>
  <c r="AA23" i="35"/>
  <c r="AB23" i="35" s="1"/>
  <c r="T23" i="35"/>
  <c r="T33" i="35" s="1"/>
  <c r="M23" i="35"/>
  <c r="N23" i="35" s="1"/>
  <c r="F23" i="35"/>
  <c r="G23" i="35" s="1"/>
  <c r="AA15" i="35"/>
  <c r="AB15" i="35" s="1"/>
  <c r="T15" i="35"/>
  <c r="U15" i="35" s="1"/>
  <c r="M15" i="35"/>
  <c r="N15" i="35" s="1"/>
  <c r="F15" i="35"/>
  <c r="G15" i="35" s="1"/>
  <c r="AA14" i="35"/>
  <c r="AB14" i="35" s="1"/>
  <c r="T14" i="35"/>
  <c r="U14" i="35" s="1"/>
  <c r="M14" i="35"/>
  <c r="N14" i="35" s="1"/>
  <c r="F14" i="35"/>
  <c r="G14" i="35" s="1"/>
  <c r="AA13" i="35"/>
  <c r="AB13" i="35" s="1"/>
  <c r="T13" i="35"/>
  <c r="U13" i="35" s="1"/>
  <c r="M13" i="35"/>
  <c r="N13" i="35" s="1"/>
  <c r="F13" i="35"/>
  <c r="G13" i="35" s="1"/>
  <c r="AA12" i="35"/>
  <c r="AB12" i="35" s="1"/>
  <c r="T12" i="35"/>
  <c r="U12" i="35" s="1"/>
  <c r="M12" i="35"/>
  <c r="N12" i="35" s="1"/>
  <c r="F12" i="35"/>
  <c r="G12" i="35" s="1"/>
  <c r="AA11" i="35"/>
  <c r="AB11" i="35" s="1"/>
  <c r="T11" i="35"/>
  <c r="U11" i="35" s="1"/>
  <c r="M11" i="35"/>
  <c r="N11" i="35" s="1"/>
  <c r="F11" i="35"/>
  <c r="G11" i="35" s="1"/>
  <c r="AA10" i="35"/>
  <c r="AB10" i="35" s="1"/>
  <c r="T10" i="35"/>
  <c r="U10" i="35" s="1"/>
  <c r="M10" i="35"/>
  <c r="N10" i="35" s="1"/>
  <c r="F10" i="35"/>
  <c r="G10" i="35" s="1"/>
  <c r="AA9" i="35"/>
  <c r="AB9" i="35" s="1"/>
  <c r="T9" i="35"/>
  <c r="U9" i="35" s="1"/>
  <c r="M9" i="35"/>
  <c r="N9" i="35" s="1"/>
  <c r="F9" i="35"/>
  <c r="G9" i="35" s="1"/>
  <c r="AA8" i="35"/>
  <c r="AB8" i="35" s="1"/>
  <c r="T8" i="35"/>
  <c r="U8" i="35" s="1"/>
  <c r="M8" i="35"/>
  <c r="N8" i="35" s="1"/>
  <c r="F8" i="35"/>
  <c r="G8" i="35" s="1"/>
  <c r="AA7" i="35"/>
  <c r="AB7" i="35" s="1"/>
  <c r="T7" i="35"/>
  <c r="U7" i="35" s="1"/>
  <c r="M7" i="35"/>
  <c r="N7" i="35" s="1"/>
  <c r="F7" i="35"/>
  <c r="G7" i="35" s="1"/>
  <c r="AA6" i="35"/>
  <c r="AB6" i="35" s="1"/>
  <c r="AB16" i="35" s="1"/>
  <c r="AB17" i="35" s="1"/>
  <c r="AA18" i="35" s="1"/>
  <c r="T6" i="35"/>
  <c r="U6" i="35" s="1"/>
  <c r="M6" i="35"/>
  <c r="N6" i="35" s="1"/>
  <c r="N16" i="35" s="1"/>
  <c r="N17" i="35" s="1"/>
  <c r="M18" i="35" s="1"/>
  <c r="F6" i="35"/>
  <c r="G6" i="35" s="1"/>
  <c r="AA32" i="34"/>
  <c r="AB32" i="34" s="1"/>
  <c r="T32" i="34"/>
  <c r="U32" i="34" s="1"/>
  <c r="M32" i="34"/>
  <c r="N32" i="34" s="1"/>
  <c r="F32" i="34"/>
  <c r="G32" i="34" s="1"/>
  <c r="AA31" i="34"/>
  <c r="AB31" i="34" s="1"/>
  <c r="T31" i="34"/>
  <c r="U31" i="34" s="1"/>
  <c r="M31" i="34"/>
  <c r="N31" i="34" s="1"/>
  <c r="F31" i="34"/>
  <c r="G31" i="34" s="1"/>
  <c r="AA30" i="34"/>
  <c r="AB30" i="34" s="1"/>
  <c r="T30" i="34"/>
  <c r="U30" i="34" s="1"/>
  <c r="M30" i="34"/>
  <c r="N30" i="34" s="1"/>
  <c r="F30" i="34"/>
  <c r="G30" i="34" s="1"/>
  <c r="AA29" i="34"/>
  <c r="AB29" i="34" s="1"/>
  <c r="T29" i="34"/>
  <c r="U29" i="34" s="1"/>
  <c r="M29" i="34"/>
  <c r="N29" i="34" s="1"/>
  <c r="F29" i="34"/>
  <c r="G29" i="34" s="1"/>
  <c r="AA28" i="34"/>
  <c r="AB28" i="34" s="1"/>
  <c r="T28" i="34"/>
  <c r="U28" i="34" s="1"/>
  <c r="M28" i="34"/>
  <c r="N28" i="34" s="1"/>
  <c r="F28" i="34"/>
  <c r="G28" i="34" s="1"/>
  <c r="AA27" i="34"/>
  <c r="AB27" i="34" s="1"/>
  <c r="T27" i="34"/>
  <c r="U27" i="34" s="1"/>
  <c r="M27" i="34"/>
  <c r="N27" i="34" s="1"/>
  <c r="F27" i="34"/>
  <c r="G27" i="34" s="1"/>
  <c r="AA26" i="34"/>
  <c r="AB26" i="34" s="1"/>
  <c r="T26" i="34"/>
  <c r="U26" i="34" s="1"/>
  <c r="M26" i="34"/>
  <c r="N26" i="34" s="1"/>
  <c r="F26" i="34"/>
  <c r="G26" i="34" s="1"/>
  <c r="AA25" i="34"/>
  <c r="AB25" i="34" s="1"/>
  <c r="T25" i="34"/>
  <c r="U25" i="34" s="1"/>
  <c r="M25" i="34"/>
  <c r="N25" i="34" s="1"/>
  <c r="F25" i="34"/>
  <c r="G25" i="34" s="1"/>
  <c r="AA24" i="34"/>
  <c r="AB24" i="34" s="1"/>
  <c r="T24" i="34"/>
  <c r="U24" i="34" s="1"/>
  <c r="M24" i="34"/>
  <c r="N24" i="34" s="1"/>
  <c r="F24" i="34"/>
  <c r="G24" i="34" s="1"/>
  <c r="AA23" i="34"/>
  <c r="AB23" i="34" s="1"/>
  <c r="T23" i="34"/>
  <c r="U23" i="34" s="1"/>
  <c r="M23" i="34"/>
  <c r="N23" i="34" s="1"/>
  <c r="F23" i="34"/>
  <c r="G23" i="34" s="1"/>
  <c r="AA15" i="34"/>
  <c r="AB15" i="34" s="1"/>
  <c r="T15" i="34"/>
  <c r="U15" i="34" s="1"/>
  <c r="M15" i="34"/>
  <c r="N15" i="34" s="1"/>
  <c r="F15" i="34"/>
  <c r="G15" i="34" s="1"/>
  <c r="AA14" i="34"/>
  <c r="AB14" i="34" s="1"/>
  <c r="T14" i="34"/>
  <c r="U14" i="34" s="1"/>
  <c r="M14" i="34"/>
  <c r="N14" i="34" s="1"/>
  <c r="F14" i="34"/>
  <c r="G14" i="34" s="1"/>
  <c r="AA13" i="34"/>
  <c r="AB13" i="34" s="1"/>
  <c r="T13" i="34"/>
  <c r="U13" i="34" s="1"/>
  <c r="M13" i="34"/>
  <c r="N13" i="34" s="1"/>
  <c r="F13" i="34"/>
  <c r="G13" i="34" s="1"/>
  <c r="AA12" i="34"/>
  <c r="AB12" i="34" s="1"/>
  <c r="T12" i="34"/>
  <c r="U12" i="34" s="1"/>
  <c r="M12" i="34"/>
  <c r="N12" i="34" s="1"/>
  <c r="F12" i="34"/>
  <c r="G12" i="34" s="1"/>
  <c r="AA11" i="34"/>
  <c r="AB11" i="34" s="1"/>
  <c r="T11" i="34"/>
  <c r="U11" i="34" s="1"/>
  <c r="M11" i="34"/>
  <c r="N11" i="34" s="1"/>
  <c r="F11" i="34"/>
  <c r="G11" i="34" s="1"/>
  <c r="AA10" i="34"/>
  <c r="AB10" i="34" s="1"/>
  <c r="T10" i="34"/>
  <c r="U10" i="34" s="1"/>
  <c r="M10" i="34"/>
  <c r="N10" i="34" s="1"/>
  <c r="F10" i="34"/>
  <c r="G10" i="34" s="1"/>
  <c r="AA9" i="34"/>
  <c r="AB9" i="34" s="1"/>
  <c r="T9" i="34"/>
  <c r="U9" i="34" s="1"/>
  <c r="M9" i="34"/>
  <c r="N9" i="34" s="1"/>
  <c r="F9" i="34"/>
  <c r="G9" i="34" s="1"/>
  <c r="AA8" i="34"/>
  <c r="AB8" i="34" s="1"/>
  <c r="T8" i="34"/>
  <c r="U8" i="34" s="1"/>
  <c r="M8" i="34"/>
  <c r="N8" i="34" s="1"/>
  <c r="F8" i="34"/>
  <c r="G8" i="34" s="1"/>
  <c r="AA7" i="34"/>
  <c r="AB7" i="34" s="1"/>
  <c r="T7" i="34"/>
  <c r="U7" i="34" s="1"/>
  <c r="M7" i="34"/>
  <c r="N7" i="34" s="1"/>
  <c r="F7" i="34"/>
  <c r="G7" i="34" s="1"/>
  <c r="AA6" i="34"/>
  <c r="AB6" i="34" s="1"/>
  <c r="AB16" i="34" s="1"/>
  <c r="AB17" i="34" s="1"/>
  <c r="AA18" i="34" s="1"/>
  <c r="T6" i="34"/>
  <c r="U6" i="34" s="1"/>
  <c r="U16" i="34" s="1"/>
  <c r="U17" i="34" s="1"/>
  <c r="T18" i="34" s="1"/>
  <c r="M6" i="34"/>
  <c r="N6" i="34" s="1"/>
  <c r="F6" i="34"/>
  <c r="G6" i="34" s="1"/>
  <c r="AA32" i="33"/>
  <c r="AB32" i="33" s="1"/>
  <c r="T32" i="33"/>
  <c r="U32" i="33" s="1"/>
  <c r="M32" i="33"/>
  <c r="N32" i="33" s="1"/>
  <c r="F32" i="33"/>
  <c r="G32" i="33" s="1"/>
  <c r="AA31" i="33"/>
  <c r="AB31" i="33" s="1"/>
  <c r="T31" i="33"/>
  <c r="U31" i="33" s="1"/>
  <c r="N31" i="33"/>
  <c r="M31" i="33"/>
  <c r="F31" i="33"/>
  <c r="G31" i="33" s="1"/>
  <c r="AA30" i="33"/>
  <c r="AB30" i="33" s="1"/>
  <c r="T30" i="33"/>
  <c r="U30" i="33" s="1"/>
  <c r="M30" i="33"/>
  <c r="N30" i="33" s="1"/>
  <c r="F30" i="33"/>
  <c r="G30" i="33" s="1"/>
  <c r="AA29" i="33"/>
  <c r="AB29" i="33" s="1"/>
  <c r="T29" i="33"/>
  <c r="U29" i="33" s="1"/>
  <c r="N29" i="33"/>
  <c r="M29" i="33"/>
  <c r="F29" i="33"/>
  <c r="G29" i="33" s="1"/>
  <c r="AA28" i="33"/>
  <c r="AB28" i="33" s="1"/>
  <c r="T28" i="33"/>
  <c r="U28" i="33" s="1"/>
  <c r="M28" i="33"/>
  <c r="N28" i="33" s="1"/>
  <c r="F28" i="33"/>
  <c r="G28" i="33" s="1"/>
  <c r="AA27" i="33"/>
  <c r="AB27" i="33" s="1"/>
  <c r="T27" i="33"/>
  <c r="U27" i="33" s="1"/>
  <c r="N27" i="33"/>
  <c r="M27" i="33"/>
  <c r="F27" i="33"/>
  <c r="G27" i="33" s="1"/>
  <c r="AA26" i="33"/>
  <c r="AB26" i="33" s="1"/>
  <c r="T26" i="33"/>
  <c r="U26" i="33" s="1"/>
  <c r="M26" i="33"/>
  <c r="N26" i="33" s="1"/>
  <c r="F26" i="33"/>
  <c r="G26" i="33" s="1"/>
  <c r="AA25" i="33"/>
  <c r="AB25" i="33" s="1"/>
  <c r="T25" i="33"/>
  <c r="U25" i="33" s="1"/>
  <c r="N25" i="33"/>
  <c r="M25" i="33"/>
  <c r="F25" i="33"/>
  <c r="G25" i="33" s="1"/>
  <c r="AA24" i="33"/>
  <c r="AB24" i="33" s="1"/>
  <c r="T24" i="33"/>
  <c r="U24" i="33" s="1"/>
  <c r="M24" i="33"/>
  <c r="N24" i="33" s="1"/>
  <c r="F24" i="33"/>
  <c r="G24" i="33" s="1"/>
  <c r="AA23" i="33"/>
  <c r="AB23" i="33" s="1"/>
  <c r="T23" i="33"/>
  <c r="U23" i="33" s="1"/>
  <c r="N23" i="33"/>
  <c r="M23" i="33"/>
  <c r="M33" i="33" s="1"/>
  <c r="F23" i="33"/>
  <c r="G23" i="33" s="1"/>
  <c r="AA15" i="33"/>
  <c r="AB15" i="33" s="1"/>
  <c r="T15" i="33"/>
  <c r="U15" i="33" s="1"/>
  <c r="M15" i="33"/>
  <c r="N15" i="33" s="1"/>
  <c r="F15" i="33"/>
  <c r="G15" i="33" s="1"/>
  <c r="AA14" i="33"/>
  <c r="AB14" i="33" s="1"/>
  <c r="T14" i="33"/>
  <c r="U14" i="33" s="1"/>
  <c r="N14" i="33"/>
  <c r="M14" i="33"/>
  <c r="F14" i="33"/>
  <c r="G14" i="33" s="1"/>
  <c r="AA13" i="33"/>
  <c r="AB13" i="33" s="1"/>
  <c r="T13" i="33"/>
  <c r="U13" i="33" s="1"/>
  <c r="M13" i="33"/>
  <c r="N13" i="33" s="1"/>
  <c r="F13" i="33"/>
  <c r="G13" i="33" s="1"/>
  <c r="AA12" i="33"/>
  <c r="AB12" i="33" s="1"/>
  <c r="T12" i="33"/>
  <c r="U12" i="33" s="1"/>
  <c r="N12" i="33"/>
  <c r="M12" i="33"/>
  <c r="F12" i="33"/>
  <c r="G12" i="33" s="1"/>
  <c r="AA11" i="33"/>
  <c r="AB11" i="33" s="1"/>
  <c r="T11" i="33"/>
  <c r="U11" i="33" s="1"/>
  <c r="M11" i="33"/>
  <c r="N11" i="33" s="1"/>
  <c r="F11" i="33"/>
  <c r="G11" i="33" s="1"/>
  <c r="AA10" i="33"/>
  <c r="AB10" i="33" s="1"/>
  <c r="T10" i="33"/>
  <c r="U10" i="33" s="1"/>
  <c r="N10" i="33"/>
  <c r="M10" i="33"/>
  <c r="F10" i="33"/>
  <c r="G10" i="33" s="1"/>
  <c r="AA9" i="33"/>
  <c r="AB9" i="33" s="1"/>
  <c r="T9" i="33"/>
  <c r="U9" i="33" s="1"/>
  <c r="M9" i="33"/>
  <c r="N9" i="33" s="1"/>
  <c r="F9" i="33"/>
  <c r="G9" i="33" s="1"/>
  <c r="AA8" i="33"/>
  <c r="AB8" i="33" s="1"/>
  <c r="T8" i="33"/>
  <c r="U8" i="33" s="1"/>
  <c r="N8" i="33"/>
  <c r="M8" i="33"/>
  <c r="F8" i="33"/>
  <c r="G8" i="33" s="1"/>
  <c r="AA7" i="33"/>
  <c r="AB7" i="33" s="1"/>
  <c r="T7" i="33"/>
  <c r="U7" i="33" s="1"/>
  <c r="M7" i="33"/>
  <c r="N7" i="33" s="1"/>
  <c r="F7" i="33"/>
  <c r="G7" i="33" s="1"/>
  <c r="AA6" i="33"/>
  <c r="AB6" i="33" s="1"/>
  <c r="T6" i="33"/>
  <c r="T16" i="33" s="1"/>
  <c r="N6" i="33"/>
  <c r="M6" i="33"/>
  <c r="M16" i="33" s="1"/>
  <c r="F6" i="33"/>
  <c r="G6" i="33" s="1"/>
  <c r="AA32" i="32"/>
  <c r="AB32" i="32" s="1"/>
  <c r="T32" i="32"/>
  <c r="U32" i="32" s="1"/>
  <c r="M32" i="32"/>
  <c r="N32" i="32" s="1"/>
  <c r="F32" i="32"/>
  <c r="G32" i="32" s="1"/>
  <c r="AA31" i="32"/>
  <c r="AB31" i="32" s="1"/>
  <c r="T31" i="32"/>
  <c r="U31" i="32" s="1"/>
  <c r="N31" i="32"/>
  <c r="M31" i="32"/>
  <c r="F31" i="32"/>
  <c r="G31" i="32" s="1"/>
  <c r="AA30" i="32"/>
  <c r="AB30" i="32" s="1"/>
  <c r="T30" i="32"/>
  <c r="U30" i="32" s="1"/>
  <c r="M30" i="32"/>
  <c r="N30" i="32" s="1"/>
  <c r="F30" i="32"/>
  <c r="G30" i="32" s="1"/>
  <c r="AA29" i="32"/>
  <c r="AB29" i="32" s="1"/>
  <c r="T29" i="32"/>
  <c r="U29" i="32" s="1"/>
  <c r="N29" i="32"/>
  <c r="M29" i="32"/>
  <c r="F29" i="32"/>
  <c r="G29" i="32" s="1"/>
  <c r="AA28" i="32"/>
  <c r="AB28" i="32" s="1"/>
  <c r="T28" i="32"/>
  <c r="U28" i="32" s="1"/>
  <c r="M28" i="32"/>
  <c r="N28" i="32" s="1"/>
  <c r="F28" i="32"/>
  <c r="G28" i="32" s="1"/>
  <c r="AA27" i="32"/>
  <c r="AB27" i="32" s="1"/>
  <c r="T27" i="32"/>
  <c r="U27" i="32" s="1"/>
  <c r="N27" i="32"/>
  <c r="M27" i="32"/>
  <c r="F27" i="32"/>
  <c r="G27" i="32" s="1"/>
  <c r="AA26" i="32"/>
  <c r="AB26" i="32" s="1"/>
  <c r="T26" i="32"/>
  <c r="U26" i="32" s="1"/>
  <c r="M26" i="32"/>
  <c r="N26" i="32" s="1"/>
  <c r="F26" i="32"/>
  <c r="G26" i="32" s="1"/>
  <c r="AA25" i="32"/>
  <c r="AB25" i="32" s="1"/>
  <c r="T25" i="32"/>
  <c r="U25" i="32" s="1"/>
  <c r="N25" i="32"/>
  <c r="M25" i="32"/>
  <c r="F25" i="32"/>
  <c r="G25" i="32" s="1"/>
  <c r="AA24" i="32"/>
  <c r="AB24" i="32" s="1"/>
  <c r="T24" i="32"/>
  <c r="U24" i="32" s="1"/>
  <c r="M24" i="32"/>
  <c r="N24" i="32" s="1"/>
  <c r="F24" i="32"/>
  <c r="G24" i="32" s="1"/>
  <c r="AA23" i="32"/>
  <c r="AB23" i="32" s="1"/>
  <c r="T23" i="32"/>
  <c r="U23" i="32" s="1"/>
  <c r="N23" i="32"/>
  <c r="M23" i="32"/>
  <c r="M33" i="32" s="1"/>
  <c r="F23" i="32"/>
  <c r="G23" i="32" s="1"/>
  <c r="AA15" i="32"/>
  <c r="AB15" i="32" s="1"/>
  <c r="T15" i="32"/>
  <c r="U15" i="32" s="1"/>
  <c r="M15" i="32"/>
  <c r="N15" i="32" s="1"/>
  <c r="F15" i="32"/>
  <c r="G15" i="32" s="1"/>
  <c r="AA14" i="32"/>
  <c r="AB14" i="32" s="1"/>
  <c r="T14" i="32"/>
  <c r="U14" i="32" s="1"/>
  <c r="N14" i="32"/>
  <c r="M14" i="32"/>
  <c r="F14" i="32"/>
  <c r="G14" i="32" s="1"/>
  <c r="AA13" i="32"/>
  <c r="AB13" i="32" s="1"/>
  <c r="T13" i="32"/>
  <c r="U13" i="32" s="1"/>
  <c r="M13" i="32"/>
  <c r="N13" i="32" s="1"/>
  <c r="F13" i="32"/>
  <c r="G13" i="32" s="1"/>
  <c r="AA12" i="32"/>
  <c r="AB12" i="32" s="1"/>
  <c r="T12" i="32"/>
  <c r="U12" i="32" s="1"/>
  <c r="N12" i="32"/>
  <c r="M12" i="32"/>
  <c r="F12" i="32"/>
  <c r="G12" i="32" s="1"/>
  <c r="AA11" i="32"/>
  <c r="AB11" i="32" s="1"/>
  <c r="T11" i="32"/>
  <c r="U11" i="32" s="1"/>
  <c r="M11" i="32"/>
  <c r="N11" i="32" s="1"/>
  <c r="F11" i="32"/>
  <c r="G11" i="32" s="1"/>
  <c r="AA10" i="32"/>
  <c r="AB10" i="32" s="1"/>
  <c r="T10" i="32"/>
  <c r="U10" i="32" s="1"/>
  <c r="N10" i="32"/>
  <c r="M10" i="32"/>
  <c r="F10" i="32"/>
  <c r="G10" i="32" s="1"/>
  <c r="AA9" i="32"/>
  <c r="AB9" i="32" s="1"/>
  <c r="T9" i="32"/>
  <c r="U9" i="32" s="1"/>
  <c r="M9" i="32"/>
  <c r="N9" i="32" s="1"/>
  <c r="F9" i="32"/>
  <c r="G9" i="32" s="1"/>
  <c r="AA8" i="32"/>
  <c r="AB8" i="32" s="1"/>
  <c r="T8" i="32"/>
  <c r="U8" i="32" s="1"/>
  <c r="N8" i="32"/>
  <c r="M8" i="32"/>
  <c r="F8" i="32"/>
  <c r="G8" i="32" s="1"/>
  <c r="AA7" i="32"/>
  <c r="AB7" i="32" s="1"/>
  <c r="T7" i="32"/>
  <c r="U7" i="32" s="1"/>
  <c r="M7" i="32"/>
  <c r="N7" i="32" s="1"/>
  <c r="F7" i="32"/>
  <c r="G7" i="32" s="1"/>
  <c r="AA6" i="32"/>
  <c r="AB6" i="32" s="1"/>
  <c r="T6" i="32"/>
  <c r="U6" i="32" s="1"/>
  <c r="N6" i="32"/>
  <c r="M6" i="32"/>
  <c r="M16" i="32" s="1"/>
  <c r="F6" i="32"/>
  <c r="G6" i="32" s="1"/>
  <c r="AA32" i="31"/>
  <c r="AB32" i="31" s="1"/>
  <c r="T32" i="31"/>
  <c r="U32" i="31" s="1"/>
  <c r="N32" i="31"/>
  <c r="M32" i="31"/>
  <c r="F32" i="31"/>
  <c r="G32" i="31" s="1"/>
  <c r="AA31" i="31"/>
  <c r="AB31" i="31" s="1"/>
  <c r="T31" i="31"/>
  <c r="U31" i="31" s="1"/>
  <c r="M31" i="31"/>
  <c r="N31" i="31" s="1"/>
  <c r="F31" i="31"/>
  <c r="G31" i="31" s="1"/>
  <c r="AA30" i="31"/>
  <c r="AB30" i="31" s="1"/>
  <c r="T30" i="31"/>
  <c r="U30" i="31" s="1"/>
  <c r="N30" i="31"/>
  <c r="M30" i="31"/>
  <c r="F30" i="31"/>
  <c r="G30" i="31" s="1"/>
  <c r="AA29" i="31"/>
  <c r="AB29" i="31" s="1"/>
  <c r="T29" i="31"/>
  <c r="U29" i="31" s="1"/>
  <c r="M29" i="31"/>
  <c r="N29" i="31" s="1"/>
  <c r="F29" i="31"/>
  <c r="G29" i="31" s="1"/>
  <c r="AA28" i="31"/>
  <c r="AB28" i="31" s="1"/>
  <c r="T28" i="31"/>
  <c r="U28" i="31" s="1"/>
  <c r="N28" i="31"/>
  <c r="M28" i="31"/>
  <c r="F28" i="31"/>
  <c r="G28" i="31" s="1"/>
  <c r="AA27" i="31"/>
  <c r="AB27" i="31" s="1"/>
  <c r="T27" i="31"/>
  <c r="U27" i="31" s="1"/>
  <c r="M27" i="31"/>
  <c r="N27" i="31" s="1"/>
  <c r="F27" i="31"/>
  <c r="G27" i="31" s="1"/>
  <c r="AA26" i="31"/>
  <c r="AB26" i="31" s="1"/>
  <c r="T26" i="31"/>
  <c r="U26" i="31" s="1"/>
  <c r="N26" i="31"/>
  <c r="M26" i="31"/>
  <c r="F26" i="31"/>
  <c r="G26" i="31" s="1"/>
  <c r="AA25" i="31"/>
  <c r="AB25" i="31" s="1"/>
  <c r="T25" i="31"/>
  <c r="U25" i="31" s="1"/>
  <c r="M25" i="31"/>
  <c r="N25" i="31" s="1"/>
  <c r="F25" i="31"/>
  <c r="G25" i="31" s="1"/>
  <c r="AA24" i="31"/>
  <c r="AB24" i="31" s="1"/>
  <c r="T24" i="31"/>
  <c r="U24" i="31" s="1"/>
  <c r="N24" i="31"/>
  <c r="M24" i="31"/>
  <c r="F24" i="31"/>
  <c r="G24" i="31" s="1"/>
  <c r="AA23" i="31"/>
  <c r="AB23" i="31" s="1"/>
  <c r="T23" i="31"/>
  <c r="U23" i="31" s="1"/>
  <c r="U33" i="31" s="1"/>
  <c r="M23" i="31"/>
  <c r="N23" i="31" s="1"/>
  <c r="N33" i="31" s="1"/>
  <c r="N34" i="31" s="1"/>
  <c r="M35" i="31" s="1"/>
  <c r="F23" i="31"/>
  <c r="G23" i="31" s="1"/>
  <c r="AA15" i="31"/>
  <c r="AB15" i="31" s="1"/>
  <c r="T15" i="31"/>
  <c r="U15" i="31" s="1"/>
  <c r="N15" i="31"/>
  <c r="M15" i="31"/>
  <c r="F15" i="31"/>
  <c r="G15" i="31" s="1"/>
  <c r="AA14" i="31"/>
  <c r="AB14" i="31" s="1"/>
  <c r="T14" i="31"/>
  <c r="U14" i="31" s="1"/>
  <c r="M14" i="31"/>
  <c r="N14" i="31" s="1"/>
  <c r="F14" i="31"/>
  <c r="G14" i="31" s="1"/>
  <c r="AA13" i="31"/>
  <c r="AB13" i="31" s="1"/>
  <c r="T13" i="31"/>
  <c r="U13" i="31" s="1"/>
  <c r="N13" i="31"/>
  <c r="M13" i="31"/>
  <c r="F13" i="31"/>
  <c r="G13" i="31" s="1"/>
  <c r="AA12" i="31"/>
  <c r="AB12" i="31" s="1"/>
  <c r="T12" i="31"/>
  <c r="U12" i="31" s="1"/>
  <c r="M12" i="31"/>
  <c r="N12" i="31" s="1"/>
  <c r="F12" i="31"/>
  <c r="G12" i="31" s="1"/>
  <c r="AA11" i="31"/>
  <c r="AB11" i="31" s="1"/>
  <c r="T11" i="31"/>
  <c r="U11" i="31" s="1"/>
  <c r="N11" i="31"/>
  <c r="M11" i="31"/>
  <c r="F11" i="31"/>
  <c r="G11" i="31" s="1"/>
  <c r="AA10" i="31"/>
  <c r="AB10" i="31" s="1"/>
  <c r="T10" i="31"/>
  <c r="U10" i="31" s="1"/>
  <c r="M10" i="31"/>
  <c r="N10" i="31" s="1"/>
  <c r="F10" i="31"/>
  <c r="G10" i="31" s="1"/>
  <c r="AA9" i="31"/>
  <c r="AB9" i="31" s="1"/>
  <c r="T9" i="31"/>
  <c r="U9" i="31" s="1"/>
  <c r="N9" i="31"/>
  <c r="M9" i="31"/>
  <c r="F9" i="31"/>
  <c r="G9" i="31" s="1"/>
  <c r="AA8" i="31"/>
  <c r="AB8" i="31" s="1"/>
  <c r="T8" i="31"/>
  <c r="U8" i="31" s="1"/>
  <c r="M8" i="31"/>
  <c r="N8" i="31" s="1"/>
  <c r="F8" i="31"/>
  <c r="G8" i="31" s="1"/>
  <c r="AA7" i="31"/>
  <c r="AB7" i="31" s="1"/>
  <c r="T7" i="31"/>
  <c r="U7" i="31" s="1"/>
  <c r="N7" i="31"/>
  <c r="M7" i="31"/>
  <c r="F7" i="31"/>
  <c r="G7" i="31" s="1"/>
  <c r="AA6" i="31"/>
  <c r="AB6" i="31" s="1"/>
  <c r="T6" i="31"/>
  <c r="U6" i="31" s="1"/>
  <c r="M6" i="31"/>
  <c r="N6" i="31" s="1"/>
  <c r="F6" i="31"/>
  <c r="G6" i="31" s="1"/>
  <c r="AA32" i="30"/>
  <c r="AB32" i="30" s="1"/>
  <c r="T32" i="30"/>
  <c r="U32" i="30" s="1"/>
  <c r="M32" i="30"/>
  <c r="N32" i="30" s="1"/>
  <c r="F32" i="30"/>
  <c r="G32" i="30" s="1"/>
  <c r="AA31" i="30"/>
  <c r="AB31" i="30" s="1"/>
  <c r="T31" i="30"/>
  <c r="U31" i="30" s="1"/>
  <c r="N31" i="30"/>
  <c r="M31" i="30"/>
  <c r="F31" i="30"/>
  <c r="G31" i="30" s="1"/>
  <c r="AA30" i="30"/>
  <c r="AB30" i="30" s="1"/>
  <c r="T30" i="30"/>
  <c r="U30" i="30" s="1"/>
  <c r="M30" i="30"/>
  <c r="N30" i="30" s="1"/>
  <c r="F30" i="30"/>
  <c r="G30" i="30" s="1"/>
  <c r="AA29" i="30"/>
  <c r="AB29" i="30" s="1"/>
  <c r="T29" i="30"/>
  <c r="U29" i="30" s="1"/>
  <c r="N29" i="30"/>
  <c r="M29" i="30"/>
  <c r="F29" i="30"/>
  <c r="G29" i="30" s="1"/>
  <c r="AA28" i="30"/>
  <c r="AB28" i="30" s="1"/>
  <c r="T28" i="30"/>
  <c r="U28" i="30" s="1"/>
  <c r="M28" i="30"/>
  <c r="N28" i="30" s="1"/>
  <c r="F28" i="30"/>
  <c r="G28" i="30" s="1"/>
  <c r="AA27" i="30"/>
  <c r="AB27" i="30" s="1"/>
  <c r="T27" i="30"/>
  <c r="U27" i="30" s="1"/>
  <c r="N27" i="30"/>
  <c r="M27" i="30"/>
  <c r="F27" i="30"/>
  <c r="G27" i="30" s="1"/>
  <c r="AA26" i="30"/>
  <c r="AB26" i="30" s="1"/>
  <c r="T26" i="30"/>
  <c r="U26" i="30" s="1"/>
  <c r="M26" i="30"/>
  <c r="N26" i="30" s="1"/>
  <c r="F26" i="30"/>
  <c r="G26" i="30" s="1"/>
  <c r="AA25" i="30"/>
  <c r="AB25" i="30" s="1"/>
  <c r="T25" i="30"/>
  <c r="U25" i="30" s="1"/>
  <c r="N25" i="30"/>
  <c r="M25" i="30"/>
  <c r="F25" i="30"/>
  <c r="G25" i="30" s="1"/>
  <c r="AA24" i="30"/>
  <c r="AB24" i="30" s="1"/>
  <c r="T24" i="30"/>
  <c r="U24" i="30" s="1"/>
  <c r="M24" i="30"/>
  <c r="N24" i="30" s="1"/>
  <c r="F24" i="30"/>
  <c r="G24" i="30" s="1"/>
  <c r="AA23" i="30"/>
  <c r="AB23" i="30" s="1"/>
  <c r="T23" i="30"/>
  <c r="U23" i="30" s="1"/>
  <c r="N23" i="30"/>
  <c r="M23" i="30"/>
  <c r="M33" i="30" s="1"/>
  <c r="F23" i="30"/>
  <c r="G23" i="30" s="1"/>
  <c r="AA15" i="30"/>
  <c r="AB15" i="30" s="1"/>
  <c r="T15" i="30"/>
  <c r="U15" i="30" s="1"/>
  <c r="M15" i="30"/>
  <c r="N15" i="30" s="1"/>
  <c r="F15" i="30"/>
  <c r="G15" i="30" s="1"/>
  <c r="AA14" i="30"/>
  <c r="AB14" i="30" s="1"/>
  <c r="T14" i="30"/>
  <c r="U14" i="30" s="1"/>
  <c r="N14" i="30"/>
  <c r="M14" i="30"/>
  <c r="F14" i="30"/>
  <c r="G14" i="30" s="1"/>
  <c r="AA13" i="30"/>
  <c r="AB13" i="30" s="1"/>
  <c r="T13" i="30"/>
  <c r="U13" i="30" s="1"/>
  <c r="M13" i="30"/>
  <c r="N13" i="30" s="1"/>
  <c r="F13" i="30"/>
  <c r="G13" i="30" s="1"/>
  <c r="AA12" i="30"/>
  <c r="AB12" i="30" s="1"/>
  <c r="T12" i="30"/>
  <c r="U12" i="30" s="1"/>
  <c r="N12" i="30"/>
  <c r="M12" i="30"/>
  <c r="F12" i="30"/>
  <c r="G12" i="30" s="1"/>
  <c r="AA11" i="30"/>
  <c r="AB11" i="30" s="1"/>
  <c r="T11" i="30"/>
  <c r="U11" i="30" s="1"/>
  <c r="M11" i="30"/>
  <c r="N11" i="30" s="1"/>
  <c r="F11" i="30"/>
  <c r="G11" i="30" s="1"/>
  <c r="AA10" i="30"/>
  <c r="AB10" i="30" s="1"/>
  <c r="T10" i="30"/>
  <c r="U10" i="30" s="1"/>
  <c r="N10" i="30"/>
  <c r="M10" i="30"/>
  <c r="F10" i="30"/>
  <c r="G10" i="30" s="1"/>
  <c r="AA9" i="30"/>
  <c r="AB9" i="30" s="1"/>
  <c r="T9" i="30"/>
  <c r="U9" i="30" s="1"/>
  <c r="M9" i="30"/>
  <c r="N9" i="30" s="1"/>
  <c r="F9" i="30"/>
  <c r="G9" i="30" s="1"/>
  <c r="AA8" i="30"/>
  <c r="AB8" i="30" s="1"/>
  <c r="T8" i="30"/>
  <c r="U8" i="30" s="1"/>
  <c r="N8" i="30"/>
  <c r="M8" i="30"/>
  <c r="F8" i="30"/>
  <c r="G8" i="30" s="1"/>
  <c r="AA7" i="30"/>
  <c r="AB7" i="30" s="1"/>
  <c r="T7" i="30"/>
  <c r="U7" i="30" s="1"/>
  <c r="M7" i="30"/>
  <c r="N7" i="30" s="1"/>
  <c r="F7" i="30"/>
  <c r="G7" i="30" s="1"/>
  <c r="AA6" i="30"/>
  <c r="AB6" i="30" s="1"/>
  <c r="T6" i="30"/>
  <c r="U6" i="30" s="1"/>
  <c r="N6" i="30"/>
  <c r="M6" i="30"/>
  <c r="M16" i="30" s="1"/>
  <c r="F6" i="30"/>
  <c r="G6" i="30" s="1"/>
  <c r="AA32" i="29"/>
  <c r="AB32" i="29" s="1"/>
  <c r="T32" i="29"/>
  <c r="U32" i="29" s="1"/>
  <c r="M32" i="29"/>
  <c r="N32" i="29" s="1"/>
  <c r="F32" i="29"/>
  <c r="G32" i="29" s="1"/>
  <c r="AA31" i="29"/>
  <c r="AB31" i="29" s="1"/>
  <c r="T31" i="29"/>
  <c r="U31" i="29" s="1"/>
  <c r="N31" i="29"/>
  <c r="M31" i="29"/>
  <c r="F31" i="29"/>
  <c r="G31" i="29" s="1"/>
  <c r="AA30" i="29"/>
  <c r="AB30" i="29" s="1"/>
  <c r="T30" i="29"/>
  <c r="U30" i="29" s="1"/>
  <c r="M30" i="29"/>
  <c r="N30" i="29" s="1"/>
  <c r="F30" i="29"/>
  <c r="G30" i="29" s="1"/>
  <c r="AA29" i="29"/>
  <c r="AB29" i="29" s="1"/>
  <c r="T29" i="29"/>
  <c r="U29" i="29" s="1"/>
  <c r="N29" i="29"/>
  <c r="M29" i="29"/>
  <c r="F29" i="29"/>
  <c r="G29" i="29" s="1"/>
  <c r="AA28" i="29"/>
  <c r="AB28" i="29" s="1"/>
  <c r="T28" i="29"/>
  <c r="U28" i="29" s="1"/>
  <c r="M28" i="29"/>
  <c r="N28" i="29" s="1"/>
  <c r="F28" i="29"/>
  <c r="G28" i="29" s="1"/>
  <c r="AA27" i="29"/>
  <c r="AB27" i="29" s="1"/>
  <c r="T27" i="29"/>
  <c r="U27" i="29" s="1"/>
  <c r="N27" i="29"/>
  <c r="M27" i="29"/>
  <c r="F27" i="29"/>
  <c r="G27" i="29" s="1"/>
  <c r="AA26" i="29"/>
  <c r="AB26" i="29" s="1"/>
  <c r="T26" i="29"/>
  <c r="U26" i="29" s="1"/>
  <c r="M26" i="29"/>
  <c r="N26" i="29" s="1"/>
  <c r="F26" i="29"/>
  <c r="G26" i="29" s="1"/>
  <c r="AA25" i="29"/>
  <c r="AB25" i="29" s="1"/>
  <c r="T25" i="29"/>
  <c r="U25" i="29" s="1"/>
  <c r="N25" i="29"/>
  <c r="M25" i="29"/>
  <c r="F25" i="29"/>
  <c r="G25" i="29" s="1"/>
  <c r="AA24" i="29"/>
  <c r="AB24" i="29" s="1"/>
  <c r="T24" i="29"/>
  <c r="U24" i="29" s="1"/>
  <c r="M24" i="29"/>
  <c r="N24" i="29" s="1"/>
  <c r="F24" i="29"/>
  <c r="G24" i="29" s="1"/>
  <c r="AA23" i="29"/>
  <c r="AB23" i="29" s="1"/>
  <c r="T23" i="29"/>
  <c r="U23" i="29" s="1"/>
  <c r="N23" i="29"/>
  <c r="M23" i="29"/>
  <c r="M33" i="29" s="1"/>
  <c r="F23" i="29"/>
  <c r="G23" i="29" s="1"/>
  <c r="AA15" i="29"/>
  <c r="AB15" i="29" s="1"/>
  <c r="T15" i="29"/>
  <c r="U15" i="29" s="1"/>
  <c r="M15" i="29"/>
  <c r="N15" i="29" s="1"/>
  <c r="F15" i="29"/>
  <c r="G15" i="29" s="1"/>
  <c r="AA14" i="29"/>
  <c r="AB14" i="29" s="1"/>
  <c r="T14" i="29"/>
  <c r="U14" i="29" s="1"/>
  <c r="N14" i="29"/>
  <c r="M14" i="29"/>
  <c r="F14" i="29"/>
  <c r="G14" i="29" s="1"/>
  <c r="AA13" i="29"/>
  <c r="AB13" i="29" s="1"/>
  <c r="T13" i="29"/>
  <c r="U13" i="29" s="1"/>
  <c r="M13" i="29"/>
  <c r="N13" i="29" s="1"/>
  <c r="F13" i="29"/>
  <c r="G13" i="29" s="1"/>
  <c r="AA12" i="29"/>
  <c r="AB12" i="29" s="1"/>
  <c r="T12" i="29"/>
  <c r="U12" i="29" s="1"/>
  <c r="N12" i="29"/>
  <c r="M12" i="29"/>
  <c r="F12" i="29"/>
  <c r="G12" i="29" s="1"/>
  <c r="AA11" i="29"/>
  <c r="AB11" i="29" s="1"/>
  <c r="T11" i="29"/>
  <c r="U11" i="29" s="1"/>
  <c r="M11" i="29"/>
  <c r="N11" i="29" s="1"/>
  <c r="F11" i="29"/>
  <c r="G11" i="29" s="1"/>
  <c r="AA10" i="29"/>
  <c r="AB10" i="29" s="1"/>
  <c r="T10" i="29"/>
  <c r="U10" i="29" s="1"/>
  <c r="N10" i="29"/>
  <c r="M10" i="29"/>
  <c r="F10" i="29"/>
  <c r="G10" i="29" s="1"/>
  <c r="AA9" i="29"/>
  <c r="AB9" i="29" s="1"/>
  <c r="T9" i="29"/>
  <c r="U9" i="29" s="1"/>
  <c r="M9" i="29"/>
  <c r="N9" i="29" s="1"/>
  <c r="F9" i="29"/>
  <c r="G9" i="29" s="1"/>
  <c r="AA8" i="29"/>
  <c r="AB8" i="29" s="1"/>
  <c r="T8" i="29"/>
  <c r="U8" i="29" s="1"/>
  <c r="N8" i="29"/>
  <c r="M8" i="29"/>
  <c r="F8" i="29"/>
  <c r="G8" i="29" s="1"/>
  <c r="AA7" i="29"/>
  <c r="AB7" i="29" s="1"/>
  <c r="T7" i="29"/>
  <c r="U7" i="29" s="1"/>
  <c r="M7" i="29"/>
  <c r="N7" i="29" s="1"/>
  <c r="F7" i="29"/>
  <c r="G7" i="29" s="1"/>
  <c r="AA6" i="29"/>
  <c r="AB6" i="29" s="1"/>
  <c r="T6" i="29"/>
  <c r="U6" i="29" s="1"/>
  <c r="N6" i="29"/>
  <c r="M6" i="29"/>
  <c r="M16" i="29" s="1"/>
  <c r="F6" i="29"/>
  <c r="G6" i="29" s="1"/>
  <c r="AA32" i="28"/>
  <c r="AB32" i="28" s="1"/>
  <c r="T32" i="28"/>
  <c r="U32" i="28" s="1"/>
  <c r="M32" i="28"/>
  <c r="N32" i="28" s="1"/>
  <c r="F32" i="28"/>
  <c r="G32" i="28" s="1"/>
  <c r="AA31" i="28"/>
  <c r="AB31" i="28" s="1"/>
  <c r="T31" i="28"/>
  <c r="U31" i="28" s="1"/>
  <c r="N31" i="28"/>
  <c r="M31" i="28"/>
  <c r="F31" i="28"/>
  <c r="G31" i="28" s="1"/>
  <c r="AA30" i="28"/>
  <c r="AB30" i="28" s="1"/>
  <c r="T30" i="28"/>
  <c r="U30" i="28" s="1"/>
  <c r="M30" i="28"/>
  <c r="N30" i="28" s="1"/>
  <c r="F30" i="28"/>
  <c r="G30" i="28" s="1"/>
  <c r="AA29" i="28"/>
  <c r="AB29" i="28" s="1"/>
  <c r="T29" i="28"/>
  <c r="U29" i="28" s="1"/>
  <c r="N29" i="28"/>
  <c r="M29" i="28"/>
  <c r="F29" i="28"/>
  <c r="G29" i="28" s="1"/>
  <c r="AA28" i="28"/>
  <c r="AB28" i="28" s="1"/>
  <c r="T28" i="28"/>
  <c r="U28" i="28" s="1"/>
  <c r="M28" i="28"/>
  <c r="N28" i="28" s="1"/>
  <c r="F28" i="28"/>
  <c r="G28" i="28" s="1"/>
  <c r="AA27" i="28"/>
  <c r="AB27" i="28" s="1"/>
  <c r="T27" i="28"/>
  <c r="U27" i="28" s="1"/>
  <c r="N27" i="28"/>
  <c r="M27" i="28"/>
  <c r="F27" i="28"/>
  <c r="G27" i="28" s="1"/>
  <c r="AA26" i="28"/>
  <c r="AB26" i="28" s="1"/>
  <c r="T26" i="28"/>
  <c r="U26" i="28" s="1"/>
  <c r="M26" i="28"/>
  <c r="N26" i="28" s="1"/>
  <c r="F26" i="28"/>
  <c r="G26" i="28" s="1"/>
  <c r="AA25" i="28"/>
  <c r="AB25" i="28" s="1"/>
  <c r="T25" i="28"/>
  <c r="U25" i="28" s="1"/>
  <c r="N25" i="28"/>
  <c r="M25" i="28"/>
  <c r="F25" i="28"/>
  <c r="G25" i="28" s="1"/>
  <c r="AA24" i="28"/>
  <c r="AB24" i="28" s="1"/>
  <c r="T24" i="28"/>
  <c r="U24" i="28" s="1"/>
  <c r="M24" i="28"/>
  <c r="N24" i="28" s="1"/>
  <c r="F24" i="28"/>
  <c r="G24" i="28" s="1"/>
  <c r="AA23" i="28"/>
  <c r="AB23" i="28" s="1"/>
  <c r="T23" i="28"/>
  <c r="U23" i="28" s="1"/>
  <c r="N23" i="28"/>
  <c r="M23" i="28"/>
  <c r="M33" i="28" s="1"/>
  <c r="F23" i="28"/>
  <c r="G23" i="28" s="1"/>
  <c r="AA15" i="28"/>
  <c r="AB15" i="28" s="1"/>
  <c r="T15" i="28"/>
  <c r="U15" i="28" s="1"/>
  <c r="M15" i="28"/>
  <c r="N15" i="28" s="1"/>
  <c r="F15" i="28"/>
  <c r="G15" i="28" s="1"/>
  <c r="AA14" i="28"/>
  <c r="AB14" i="28" s="1"/>
  <c r="T14" i="28"/>
  <c r="U14" i="28" s="1"/>
  <c r="N14" i="28"/>
  <c r="M14" i="28"/>
  <c r="F14" i="28"/>
  <c r="G14" i="28" s="1"/>
  <c r="AA13" i="28"/>
  <c r="AB13" i="28" s="1"/>
  <c r="T13" i="28"/>
  <c r="U13" i="28" s="1"/>
  <c r="M13" i="28"/>
  <c r="N13" i="28" s="1"/>
  <c r="F13" i="28"/>
  <c r="G13" i="28" s="1"/>
  <c r="AA12" i="28"/>
  <c r="AB12" i="28" s="1"/>
  <c r="T12" i="28"/>
  <c r="U12" i="28" s="1"/>
  <c r="N12" i="28"/>
  <c r="M12" i="28"/>
  <c r="F12" i="28"/>
  <c r="G12" i="28" s="1"/>
  <c r="AA11" i="28"/>
  <c r="AB11" i="28" s="1"/>
  <c r="T11" i="28"/>
  <c r="U11" i="28" s="1"/>
  <c r="M11" i="28"/>
  <c r="N11" i="28" s="1"/>
  <c r="F11" i="28"/>
  <c r="G11" i="28" s="1"/>
  <c r="AA10" i="28"/>
  <c r="AB10" i="28" s="1"/>
  <c r="T10" i="28"/>
  <c r="U10" i="28" s="1"/>
  <c r="N10" i="28"/>
  <c r="M10" i="28"/>
  <c r="F10" i="28"/>
  <c r="G10" i="28" s="1"/>
  <c r="AA9" i="28"/>
  <c r="AB9" i="28" s="1"/>
  <c r="T9" i="28"/>
  <c r="U9" i="28" s="1"/>
  <c r="M9" i="28"/>
  <c r="N9" i="28" s="1"/>
  <c r="F9" i="28"/>
  <c r="G9" i="28" s="1"/>
  <c r="AA8" i="28"/>
  <c r="AB8" i="28" s="1"/>
  <c r="T8" i="28"/>
  <c r="U8" i="28" s="1"/>
  <c r="N8" i="28"/>
  <c r="M8" i="28"/>
  <c r="F8" i="28"/>
  <c r="G8" i="28" s="1"/>
  <c r="AA7" i="28"/>
  <c r="AB7" i="28" s="1"/>
  <c r="T7" i="28"/>
  <c r="U7" i="28" s="1"/>
  <c r="M7" i="28"/>
  <c r="N7" i="28" s="1"/>
  <c r="F7" i="28"/>
  <c r="G7" i="28" s="1"/>
  <c r="AA6" i="28"/>
  <c r="AB6" i="28" s="1"/>
  <c r="T6" i="28"/>
  <c r="U6" i="28" s="1"/>
  <c r="N6" i="28"/>
  <c r="M6" i="28"/>
  <c r="M16" i="28" s="1"/>
  <c r="F6" i="28"/>
  <c r="G6" i="28" s="1"/>
  <c r="AA32" i="27"/>
  <c r="AB32" i="27" s="1"/>
  <c r="U32" i="27"/>
  <c r="T32" i="27"/>
  <c r="M32" i="27"/>
  <c r="N32" i="27" s="1"/>
  <c r="F32" i="27"/>
  <c r="G32" i="27" s="1"/>
  <c r="AA31" i="27"/>
  <c r="AB31" i="27" s="1"/>
  <c r="T31" i="27"/>
  <c r="U31" i="27" s="1"/>
  <c r="M31" i="27"/>
  <c r="N31" i="27" s="1"/>
  <c r="F31" i="27"/>
  <c r="G31" i="27" s="1"/>
  <c r="AA30" i="27"/>
  <c r="AB30" i="27" s="1"/>
  <c r="U30" i="27"/>
  <c r="T30" i="27"/>
  <c r="M30" i="27"/>
  <c r="N30" i="27" s="1"/>
  <c r="F30" i="27"/>
  <c r="G30" i="27" s="1"/>
  <c r="AA29" i="27"/>
  <c r="AB29" i="27" s="1"/>
  <c r="T29" i="27"/>
  <c r="U29" i="27" s="1"/>
  <c r="M29" i="27"/>
  <c r="N29" i="27" s="1"/>
  <c r="F29" i="27"/>
  <c r="G29" i="27" s="1"/>
  <c r="AA28" i="27"/>
  <c r="AB28" i="27" s="1"/>
  <c r="U28" i="27"/>
  <c r="T28" i="27"/>
  <c r="M28" i="27"/>
  <c r="N28" i="27" s="1"/>
  <c r="F28" i="27"/>
  <c r="G28" i="27" s="1"/>
  <c r="AA27" i="27"/>
  <c r="AB27" i="27" s="1"/>
  <c r="T27" i="27"/>
  <c r="U27" i="27" s="1"/>
  <c r="M27" i="27"/>
  <c r="N27" i="27" s="1"/>
  <c r="F27" i="27"/>
  <c r="G27" i="27" s="1"/>
  <c r="AA26" i="27"/>
  <c r="AB26" i="27" s="1"/>
  <c r="U26" i="27"/>
  <c r="T26" i="27"/>
  <c r="M26" i="27"/>
  <c r="N26" i="27" s="1"/>
  <c r="F26" i="27"/>
  <c r="G26" i="27" s="1"/>
  <c r="AA25" i="27"/>
  <c r="AB25" i="27" s="1"/>
  <c r="T25" i="27"/>
  <c r="U25" i="27" s="1"/>
  <c r="M25" i="27"/>
  <c r="N25" i="27" s="1"/>
  <c r="F25" i="27"/>
  <c r="G25" i="27" s="1"/>
  <c r="AA24" i="27"/>
  <c r="AB24" i="27" s="1"/>
  <c r="U24" i="27"/>
  <c r="T24" i="27"/>
  <c r="M24" i="27"/>
  <c r="N24" i="27" s="1"/>
  <c r="F24" i="27"/>
  <c r="G24" i="27" s="1"/>
  <c r="AA23" i="27"/>
  <c r="AB23" i="27" s="1"/>
  <c r="T23" i="27"/>
  <c r="U23" i="27" s="1"/>
  <c r="M23" i="27"/>
  <c r="N23" i="27" s="1"/>
  <c r="F23" i="27"/>
  <c r="G23" i="27" s="1"/>
  <c r="AA15" i="27"/>
  <c r="AB15" i="27" s="1"/>
  <c r="U15" i="27"/>
  <c r="T15" i="27"/>
  <c r="M15" i="27"/>
  <c r="N15" i="27" s="1"/>
  <c r="F15" i="27"/>
  <c r="G15" i="27" s="1"/>
  <c r="AA14" i="27"/>
  <c r="AB14" i="27" s="1"/>
  <c r="T14" i="27"/>
  <c r="U14" i="27" s="1"/>
  <c r="M14" i="27"/>
  <c r="N14" i="27" s="1"/>
  <c r="F14" i="27"/>
  <c r="G14" i="27" s="1"/>
  <c r="AA13" i="27"/>
  <c r="AB13" i="27" s="1"/>
  <c r="U13" i="27"/>
  <c r="T13" i="27"/>
  <c r="M13" i="27"/>
  <c r="N13" i="27" s="1"/>
  <c r="F13" i="27"/>
  <c r="G13" i="27" s="1"/>
  <c r="AA12" i="27"/>
  <c r="AB12" i="27" s="1"/>
  <c r="T12" i="27"/>
  <c r="U12" i="27" s="1"/>
  <c r="M12" i="27"/>
  <c r="M16" i="27" s="1"/>
  <c r="F12" i="27"/>
  <c r="G12" i="27" s="1"/>
  <c r="AA11" i="27"/>
  <c r="AB11" i="27" s="1"/>
  <c r="U11" i="27"/>
  <c r="T11" i="27"/>
  <c r="M11" i="27"/>
  <c r="N11" i="27" s="1"/>
  <c r="F11" i="27"/>
  <c r="G11" i="27" s="1"/>
  <c r="AA10" i="27"/>
  <c r="AB10" i="27" s="1"/>
  <c r="T10" i="27"/>
  <c r="U10" i="27" s="1"/>
  <c r="M10" i="27"/>
  <c r="N10" i="27" s="1"/>
  <c r="F10" i="27"/>
  <c r="G10" i="27" s="1"/>
  <c r="AA9" i="27"/>
  <c r="AB9" i="27" s="1"/>
  <c r="U9" i="27"/>
  <c r="T9" i="27"/>
  <c r="M9" i="27"/>
  <c r="N9" i="27" s="1"/>
  <c r="F9" i="27"/>
  <c r="G9" i="27" s="1"/>
  <c r="AA8" i="27"/>
  <c r="AB8" i="27" s="1"/>
  <c r="T8" i="27"/>
  <c r="U8" i="27" s="1"/>
  <c r="M8" i="27"/>
  <c r="N8" i="27" s="1"/>
  <c r="F8" i="27"/>
  <c r="G8" i="27" s="1"/>
  <c r="AA7" i="27"/>
  <c r="AB7" i="27" s="1"/>
  <c r="U7" i="27"/>
  <c r="T7" i="27"/>
  <c r="M7" i="27"/>
  <c r="N7" i="27" s="1"/>
  <c r="F7" i="27"/>
  <c r="G7" i="27" s="1"/>
  <c r="AA6" i="27"/>
  <c r="AB6" i="27" s="1"/>
  <c r="T6" i="27"/>
  <c r="U6" i="27" s="1"/>
  <c r="M6" i="27"/>
  <c r="N6" i="27" s="1"/>
  <c r="F6" i="27"/>
  <c r="G6" i="27" s="1"/>
  <c r="AA32" i="26"/>
  <c r="AB32" i="26" s="1"/>
  <c r="T32" i="26"/>
  <c r="U32" i="26" s="1"/>
  <c r="M32" i="26"/>
  <c r="N32" i="26" s="1"/>
  <c r="F32" i="26"/>
  <c r="G32" i="26" s="1"/>
  <c r="AA31" i="26"/>
  <c r="AB31" i="26" s="1"/>
  <c r="T31" i="26"/>
  <c r="U31" i="26" s="1"/>
  <c r="N31" i="26"/>
  <c r="M31" i="26"/>
  <c r="F31" i="26"/>
  <c r="G31" i="26" s="1"/>
  <c r="AA30" i="26"/>
  <c r="AB30" i="26" s="1"/>
  <c r="T30" i="26"/>
  <c r="U30" i="26" s="1"/>
  <c r="M30" i="26"/>
  <c r="N30" i="26" s="1"/>
  <c r="F30" i="26"/>
  <c r="G30" i="26" s="1"/>
  <c r="AA29" i="26"/>
  <c r="AB29" i="26" s="1"/>
  <c r="T29" i="26"/>
  <c r="U29" i="26" s="1"/>
  <c r="N29" i="26"/>
  <c r="M29" i="26"/>
  <c r="F29" i="26"/>
  <c r="G29" i="26" s="1"/>
  <c r="AA28" i="26"/>
  <c r="AB28" i="26" s="1"/>
  <c r="T28" i="26"/>
  <c r="U28" i="26" s="1"/>
  <c r="M28" i="26"/>
  <c r="N28" i="26" s="1"/>
  <c r="F28" i="26"/>
  <c r="G28" i="26" s="1"/>
  <c r="AA27" i="26"/>
  <c r="AB27" i="26" s="1"/>
  <c r="T27" i="26"/>
  <c r="U27" i="26" s="1"/>
  <c r="N27" i="26"/>
  <c r="M27" i="26"/>
  <c r="F27" i="26"/>
  <c r="G27" i="26" s="1"/>
  <c r="AA26" i="26"/>
  <c r="AB26" i="26" s="1"/>
  <c r="T26" i="26"/>
  <c r="U26" i="26" s="1"/>
  <c r="M26" i="26"/>
  <c r="N26" i="26" s="1"/>
  <c r="F26" i="26"/>
  <c r="G26" i="26" s="1"/>
  <c r="AA25" i="26"/>
  <c r="AB25" i="26" s="1"/>
  <c r="T25" i="26"/>
  <c r="U25" i="26" s="1"/>
  <c r="M25" i="26"/>
  <c r="N25" i="26" s="1"/>
  <c r="F25" i="26"/>
  <c r="G25" i="26" s="1"/>
  <c r="AA24" i="26"/>
  <c r="AB24" i="26" s="1"/>
  <c r="T24" i="26"/>
  <c r="U24" i="26" s="1"/>
  <c r="M24" i="26"/>
  <c r="N24" i="26" s="1"/>
  <c r="F24" i="26"/>
  <c r="G24" i="26" s="1"/>
  <c r="AA23" i="26"/>
  <c r="AB23" i="26" s="1"/>
  <c r="T23" i="26"/>
  <c r="U23" i="26" s="1"/>
  <c r="M23" i="26"/>
  <c r="F23" i="26"/>
  <c r="G23" i="26" s="1"/>
  <c r="AA15" i="26"/>
  <c r="AB15" i="26" s="1"/>
  <c r="T15" i="26"/>
  <c r="U15" i="26" s="1"/>
  <c r="M15" i="26"/>
  <c r="N15" i="26" s="1"/>
  <c r="F15" i="26"/>
  <c r="G15" i="26" s="1"/>
  <c r="AA14" i="26"/>
  <c r="AB14" i="26" s="1"/>
  <c r="T14" i="26"/>
  <c r="U14" i="26" s="1"/>
  <c r="N14" i="26"/>
  <c r="M14" i="26"/>
  <c r="F14" i="26"/>
  <c r="G14" i="26" s="1"/>
  <c r="AA13" i="26"/>
  <c r="AB13" i="26" s="1"/>
  <c r="T13" i="26"/>
  <c r="U13" i="26" s="1"/>
  <c r="M13" i="26"/>
  <c r="N13" i="26" s="1"/>
  <c r="F13" i="26"/>
  <c r="G13" i="26" s="1"/>
  <c r="AA12" i="26"/>
  <c r="AB12" i="26" s="1"/>
  <c r="T12" i="26"/>
  <c r="U12" i="26" s="1"/>
  <c r="N12" i="26"/>
  <c r="M12" i="26"/>
  <c r="F12" i="26"/>
  <c r="G12" i="26" s="1"/>
  <c r="AA11" i="26"/>
  <c r="AB11" i="26" s="1"/>
  <c r="T11" i="26"/>
  <c r="U11" i="26" s="1"/>
  <c r="M11" i="26"/>
  <c r="N11" i="26" s="1"/>
  <c r="F11" i="26"/>
  <c r="G11" i="26" s="1"/>
  <c r="AA10" i="26"/>
  <c r="AB10" i="26" s="1"/>
  <c r="T10" i="26"/>
  <c r="U10" i="26" s="1"/>
  <c r="N10" i="26"/>
  <c r="M10" i="26"/>
  <c r="F10" i="26"/>
  <c r="G10" i="26" s="1"/>
  <c r="AA9" i="26"/>
  <c r="AB9" i="26" s="1"/>
  <c r="T9" i="26"/>
  <c r="U9" i="26" s="1"/>
  <c r="M9" i="26"/>
  <c r="N9" i="26" s="1"/>
  <c r="F9" i="26"/>
  <c r="G9" i="26" s="1"/>
  <c r="AA8" i="26"/>
  <c r="AB8" i="26" s="1"/>
  <c r="T8" i="26"/>
  <c r="U8" i="26" s="1"/>
  <c r="N8" i="26"/>
  <c r="M8" i="26"/>
  <c r="F8" i="26"/>
  <c r="G8" i="26" s="1"/>
  <c r="AA7" i="26"/>
  <c r="AB7" i="26" s="1"/>
  <c r="T7" i="26"/>
  <c r="U7" i="26" s="1"/>
  <c r="M7" i="26"/>
  <c r="N7" i="26" s="1"/>
  <c r="F7" i="26"/>
  <c r="G7" i="26" s="1"/>
  <c r="AA6" i="26"/>
  <c r="AB6" i="26" s="1"/>
  <c r="T6" i="26"/>
  <c r="U6" i="26" s="1"/>
  <c r="M6" i="26"/>
  <c r="M16" i="26" s="1"/>
  <c r="F6" i="26"/>
  <c r="G6" i="26" s="1"/>
  <c r="AA32" i="25"/>
  <c r="AB32" i="25" s="1"/>
  <c r="T32" i="25"/>
  <c r="U32" i="25" s="1"/>
  <c r="M32" i="25"/>
  <c r="N32" i="25" s="1"/>
  <c r="F32" i="25"/>
  <c r="G32" i="25" s="1"/>
  <c r="AA31" i="25"/>
  <c r="AB31" i="25" s="1"/>
  <c r="T31" i="25"/>
  <c r="U31" i="25" s="1"/>
  <c r="N31" i="25"/>
  <c r="M31" i="25"/>
  <c r="F31" i="25"/>
  <c r="G31" i="25" s="1"/>
  <c r="AA30" i="25"/>
  <c r="AB30" i="25" s="1"/>
  <c r="T30" i="25"/>
  <c r="U30" i="25" s="1"/>
  <c r="M30" i="25"/>
  <c r="N30" i="25" s="1"/>
  <c r="F30" i="25"/>
  <c r="G30" i="25" s="1"/>
  <c r="AA29" i="25"/>
  <c r="AB29" i="25" s="1"/>
  <c r="T29" i="25"/>
  <c r="U29" i="25" s="1"/>
  <c r="N29" i="25"/>
  <c r="M29" i="25"/>
  <c r="F29" i="25"/>
  <c r="G29" i="25" s="1"/>
  <c r="AA28" i="25"/>
  <c r="AB28" i="25" s="1"/>
  <c r="T28" i="25"/>
  <c r="U28" i="25" s="1"/>
  <c r="M28" i="25"/>
  <c r="N28" i="25" s="1"/>
  <c r="F28" i="25"/>
  <c r="G28" i="25" s="1"/>
  <c r="AA27" i="25"/>
  <c r="AB27" i="25" s="1"/>
  <c r="T27" i="25"/>
  <c r="U27" i="25" s="1"/>
  <c r="N27" i="25"/>
  <c r="M27" i="25"/>
  <c r="F27" i="25"/>
  <c r="G27" i="25" s="1"/>
  <c r="AA26" i="25"/>
  <c r="AB26" i="25" s="1"/>
  <c r="T26" i="25"/>
  <c r="U26" i="25" s="1"/>
  <c r="M26" i="25"/>
  <c r="N26" i="25" s="1"/>
  <c r="F26" i="25"/>
  <c r="G26" i="25" s="1"/>
  <c r="AA25" i="25"/>
  <c r="AB25" i="25" s="1"/>
  <c r="T25" i="25"/>
  <c r="U25" i="25" s="1"/>
  <c r="N25" i="25"/>
  <c r="M25" i="25"/>
  <c r="F25" i="25"/>
  <c r="G25" i="25" s="1"/>
  <c r="AA24" i="25"/>
  <c r="AB24" i="25" s="1"/>
  <c r="T24" i="25"/>
  <c r="U24" i="25" s="1"/>
  <c r="M24" i="25"/>
  <c r="N24" i="25" s="1"/>
  <c r="F24" i="25"/>
  <c r="G24" i="25" s="1"/>
  <c r="AA23" i="25"/>
  <c r="AB23" i="25" s="1"/>
  <c r="T23" i="25"/>
  <c r="U23" i="25" s="1"/>
  <c r="N23" i="25"/>
  <c r="M23" i="25"/>
  <c r="M33" i="25" s="1"/>
  <c r="F23" i="25"/>
  <c r="G23" i="25" s="1"/>
  <c r="AA15" i="25"/>
  <c r="AB15" i="25" s="1"/>
  <c r="T15" i="25"/>
  <c r="U15" i="25" s="1"/>
  <c r="M15" i="25"/>
  <c r="N15" i="25" s="1"/>
  <c r="F15" i="25"/>
  <c r="G15" i="25" s="1"/>
  <c r="AA14" i="25"/>
  <c r="AB14" i="25" s="1"/>
  <c r="T14" i="25"/>
  <c r="U14" i="25" s="1"/>
  <c r="N14" i="25"/>
  <c r="M14" i="25"/>
  <c r="F14" i="25"/>
  <c r="G14" i="25" s="1"/>
  <c r="AA13" i="25"/>
  <c r="AB13" i="25" s="1"/>
  <c r="T13" i="25"/>
  <c r="U13" i="25" s="1"/>
  <c r="M13" i="25"/>
  <c r="N13" i="25" s="1"/>
  <c r="F13" i="25"/>
  <c r="G13" i="25" s="1"/>
  <c r="AA12" i="25"/>
  <c r="AB12" i="25" s="1"/>
  <c r="T12" i="25"/>
  <c r="U12" i="25" s="1"/>
  <c r="N12" i="25"/>
  <c r="M12" i="25"/>
  <c r="F12" i="25"/>
  <c r="G12" i="25" s="1"/>
  <c r="AA11" i="25"/>
  <c r="AB11" i="25" s="1"/>
  <c r="T11" i="25"/>
  <c r="U11" i="25" s="1"/>
  <c r="M11" i="25"/>
  <c r="N11" i="25" s="1"/>
  <c r="F11" i="25"/>
  <c r="G11" i="25" s="1"/>
  <c r="AA10" i="25"/>
  <c r="AB10" i="25" s="1"/>
  <c r="T10" i="25"/>
  <c r="U10" i="25" s="1"/>
  <c r="N10" i="25"/>
  <c r="M10" i="25"/>
  <c r="F10" i="25"/>
  <c r="G10" i="25" s="1"/>
  <c r="AA9" i="25"/>
  <c r="AB9" i="25" s="1"/>
  <c r="T9" i="25"/>
  <c r="U9" i="25" s="1"/>
  <c r="M9" i="25"/>
  <c r="N9" i="25" s="1"/>
  <c r="F9" i="25"/>
  <c r="G9" i="25" s="1"/>
  <c r="AA8" i="25"/>
  <c r="AB8" i="25" s="1"/>
  <c r="T8" i="25"/>
  <c r="U8" i="25" s="1"/>
  <c r="N8" i="25"/>
  <c r="M8" i="25"/>
  <c r="F8" i="25"/>
  <c r="G8" i="25" s="1"/>
  <c r="AA7" i="25"/>
  <c r="AB7" i="25" s="1"/>
  <c r="T7" i="25"/>
  <c r="U7" i="25" s="1"/>
  <c r="M7" i="25"/>
  <c r="N7" i="25" s="1"/>
  <c r="F7" i="25"/>
  <c r="G7" i="25" s="1"/>
  <c r="AA6" i="25"/>
  <c r="AB6" i="25" s="1"/>
  <c r="T6" i="25"/>
  <c r="U6" i="25" s="1"/>
  <c r="N6" i="25"/>
  <c r="M6" i="25"/>
  <c r="M16" i="25" s="1"/>
  <c r="F6" i="25"/>
  <c r="G6" i="25" s="1"/>
  <c r="AA32" i="24"/>
  <c r="AB32" i="24" s="1"/>
  <c r="T32" i="24"/>
  <c r="U32" i="24" s="1"/>
  <c r="M32" i="24"/>
  <c r="N32" i="24" s="1"/>
  <c r="F32" i="24"/>
  <c r="G32" i="24" s="1"/>
  <c r="AA31" i="24"/>
  <c r="AB31" i="24" s="1"/>
  <c r="T31" i="24"/>
  <c r="U31" i="24" s="1"/>
  <c r="M31" i="24"/>
  <c r="N31" i="24" s="1"/>
  <c r="F31" i="24"/>
  <c r="G31" i="24" s="1"/>
  <c r="AA30" i="24"/>
  <c r="AB30" i="24" s="1"/>
  <c r="T30" i="24"/>
  <c r="U30" i="24" s="1"/>
  <c r="M30" i="24"/>
  <c r="N30" i="24" s="1"/>
  <c r="F30" i="24"/>
  <c r="G30" i="24" s="1"/>
  <c r="AA29" i="24"/>
  <c r="AB29" i="24" s="1"/>
  <c r="T29" i="24"/>
  <c r="U29" i="24" s="1"/>
  <c r="M29" i="24"/>
  <c r="N29" i="24" s="1"/>
  <c r="F29" i="24"/>
  <c r="G29" i="24" s="1"/>
  <c r="AA28" i="24"/>
  <c r="AB28" i="24" s="1"/>
  <c r="T28" i="24"/>
  <c r="U28" i="24" s="1"/>
  <c r="M28" i="24"/>
  <c r="N28" i="24" s="1"/>
  <c r="F28" i="24"/>
  <c r="G28" i="24" s="1"/>
  <c r="AA27" i="24"/>
  <c r="AB27" i="24" s="1"/>
  <c r="T27" i="24"/>
  <c r="U27" i="24" s="1"/>
  <c r="M27" i="24"/>
  <c r="N27" i="24" s="1"/>
  <c r="F27" i="24"/>
  <c r="G27" i="24" s="1"/>
  <c r="AA26" i="24"/>
  <c r="AB26" i="24" s="1"/>
  <c r="T26" i="24"/>
  <c r="U26" i="24" s="1"/>
  <c r="M26" i="24"/>
  <c r="N26" i="24" s="1"/>
  <c r="F26" i="24"/>
  <c r="G26" i="24" s="1"/>
  <c r="AA25" i="24"/>
  <c r="AB25" i="24" s="1"/>
  <c r="T25" i="24"/>
  <c r="U25" i="24" s="1"/>
  <c r="M25" i="24"/>
  <c r="N25" i="24" s="1"/>
  <c r="F25" i="24"/>
  <c r="G25" i="24" s="1"/>
  <c r="AA24" i="24"/>
  <c r="AB24" i="24" s="1"/>
  <c r="T24" i="24"/>
  <c r="U24" i="24" s="1"/>
  <c r="M24" i="24"/>
  <c r="N24" i="24" s="1"/>
  <c r="F24" i="24"/>
  <c r="G24" i="24" s="1"/>
  <c r="AA23" i="24"/>
  <c r="AB23" i="24" s="1"/>
  <c r="T23" i="24"/>
  <c r="U23" i="24" s="1"/>
  <c r="M23" i="24"/>
  <c r="N23" i="24" s="1"/>
  <c r="F23" i="24"/>
  <c r="G23" i="24" s="1"/>
  <c r="AA15" i="24"/>
  <c r="AB15" i="24" s="1"/>
  <c r="U15" i="24"/>
  <c r="T15" i="24"/>
  <c r="M15" i="24"/>
  <c r="N15" i="24" s="1"/>
  <c r="F15" i="24"/>
  <c r="G15" i="24" s="1"/>
  <c r="AA14" i="24"/>
  <c r="AB14" i="24" s="1"/>
  <c r="T14" i="24"/>
  <c r="U14" i="24" s="1"/>
  <c r="M14" i="24"/>
  <c r="N14" i="24" s="1"/>
  <c r="F14" i="24"/>
  <c r="G14" i="24" s="1"/>
  <c r="AA13" i="24"/>
  <c r="AB13" i="24" s="1"/>
  <c r="U13" i="24"/>
  <c r="T13" i="24"/>
  <c r="M13" i="24"/>
  <c r="N13" i="24" s="1"/>
  <c r="F13" i="24"/>
  <c r="G13" i="24" s="1"/>
  <c r="AA12" i="24"/>
  <c r="AB12" i="24" s="1"/>
  <c r="T12" i="24"/>
  <c r="U12" i="24" s="1"/>
  <c r="M12" i="24"/>
  <c r="N12" i="24" s="1"/>
  <c r="F12" i="24"/>
  <c r="G12" i="24" s="1"/>
  <c r="AA11" i="24"/>
  <c r="AB11" i="24" s="1"/>
  <c r="U11" i="24"/>
  <c r="T11" i="24"/>
  <c r="M11" i="24"/>
  <c r="N11" i="24" s="1"/>
  <c r="F11" i="24"/>
  <c r="G11" i="24" s="1"/>
  <c r="AA10" i="24"/>
  <c r="AB10" i="24" s="1"/>
  <c r="T10" i="24"/>
  <c r="U10" i="24" s="1"/>
  <c r="M10" i="24"/>
  <c r="M16" i="24" s="1"/>
  <c r="F10" i="24"/>
  <c r="G10" i="24" s="1"/>
  <c r="AA9" i="24"/>
  <c r="AB9" i="24" s="1"/>
  <c r="U9" i="24"/>
  <c r="T9" i="24"/>
  <c r="M9" i="24"/>
  <c r="N9" i="24" s="1"/>
  <c r="F9" i="24"/>
  <c r="G9" i="24" s="1"/>
  <c r="AA8" i="24"/>
  <c r="AB8" i="24" s="1"/>
  <c r="T8" i="24"/>
  <c r="U8" i="24" s="1"/>
  <c r="M8" i="24"/>
  <c r="N8" i="24" s="1"/>
  <c r="F8" i="24"/>
  <c r="G8" i="24" s="1"/>
  <c r="AA7" i="24"/>
  <c r="AB7" i="24" s="1"/>
  <c r="U7" i="24"/>
  <c r="T7" i="24"/>
  <c r="M7" i="24"/>
  <c r="N7" i="24" s="1"/>
  <c r="F7" i="24"/>
  <c r="G7" i="24" s="1"/>
  <c r="AA6" i="24"/>
  <c r="AB6" i="24" s="1"/>
  <c r="T6" i="24"/>
  <c r="U6" i="24" s="1"/>
  <c r="M6" i="24"/>
  <c r="N6" i="24" s="1"/>
  <c r="F6" i="24"/>
  <c r="G6" i="24" s="1"/>
  <c r="AA32" i="23"/>
  <c r="AB32" i="23" s="1"/>
  <c r="T32" i="23"/>
  <c r="U32" i="23" s="1"/>
  <c r="M32" i="23"/>
  <c r="N32" i="23" s="1"/>
  <c r="F32" i="23"/>
  <c r="G32" i="23" s="1"/>
  <c r="AA31" i="23"/>
  <c r="AB31" i="23" s="1"/>
  <c r="T31" i="23"/>
  <c r="U31" i="23" s="1"/>
  <c r="M31" i="23"/>
  <c r="N31" i="23" s="1"/>
  <c r="F31" i="23"/>
  <c r="G31" i="23" s="1"/>
  <c r="AA30" i="23"/>
  <c r="AB30" i="23" s="1"/>
  <c r="T30" i="23"/>
  <c r="U30" i="23" s="1"/>
  <c r="M30" i="23"/>
  <c r="N30" i="23" s="1"/>
  <c r="F30" i="23"/>
  <c r="G30" i="23" s="1"/>
  <c r="AA29" i="23"/>
  <c r="AB29" i="23" s="1"/>
  <c r="T29" i="23"/>
  <c r="U29" i="23" s="1"/>
  <c r="M29" i="23"/>
  <c r="N29" i="23" s="1"/>
  <c r="F29" i="23"/>
  <c r="G29" i="23" s="1"/>
  <c r="AA28" i="23"/>
  <c r="AB28" i="23" s="1"/>
  <c r="T28" i="23"/>
  <c r="U28" i="23" s="1"/>
  <c r="M28" i="23"/>
  <c r="N28" i="23" s="1"/>
  <c r="F28" i="23"/>
  <c r="G28" i="23" s="1"/>
  <c r="AA27" i="23"/>
  <c r="AB27" i="23" s="1"/>
  <c r="T27" i="23"/>
  <c r="U27" i="23" s="1"/>
  <c r="M27" i="23"/>
  <c r="N27" i="23" s="1"/>
  <c r="F27" i="23"/>
  <c r="G27" i="23" s="1"/>
  <c r="AA26" i="23"/>
  <c r="AB26" i="23" s="1"/>
  <c r="U26" i="23"/>
  <c r="T26" i="23"/>
  <c r="M26" i="23"/>
  <c r="N26" i="23" s="1"/>
  <c r="F26" i="23"/>
  <c r="G26" i="23" s="1"/>
  <c r="AA25" i="23"/>
  <c r="AB25" i="23" s="1"/>
  <c r="T25" i="23"/>
  <c r="U25" i="23" s="1"/>
  <c r="M25" i="23"/>
  <c r="N25" i="23" s="1"/>
  <c r="F25" i="23"/>
  <c r="G25" i="23" s="1"/>
  <c r="AA24" i="23"/>
  <c r="AB24" i="23" s="1"/>
  <c r="U24" i="23"/>
  <c r="T24" i="23"/>
  <c r="M24" i="23"/>
  <c r="N24" i="23" s="1"/>
  <c r="F24" i="23"/>
  <c r="G24" i="23" s="1"/>
  <c r="AA23" i="23"/>
  <c r="AB23" i="23" s="1"/>
  <c r="T23" i="23"/>
  <c r="U23" i="23" s="1"/>
  <c r="M23" i="23"/>
  <c r="N23" i="23" s="1"/>
  <c r="F23" i="23"/>
  <c r="G23" i="23" s="1"/>
  <c r="M16" i="23"/>
  <c r="AA15" i="23"/>
  <c r="AB15" i="23" s="1"/>
  <c r="U15" i="23"/>
  <c r="T15" i="23"/>
  <c r="M15" i="23"/>
  <c r="N15" i="23" s="1"/>
  <c r="F15" i="23"/>
  <c r="G15" i="23" s="1"/>
  <c r="AA14" i="23"/>
  <c r="AB14" i="23" s="1"/>
  <c r="T14" i="23"/>
  <c r="U14" i="23" s="1"/>
  <c r="M14" i="23"/>
  <c r="N14" i="23" s="1"/>
  <c r="F14" i="23"/>
  <c r="G14" i="23" s="1"/>
  <c r="AA13" i="23"/>
  <c r="AB13" i="23" s="1"/>
  <c r="U13" i="23"/>
  <c r="T13" i="23"/>
  <c r="M13" i="23"/>
  <c r="N13" i="23" s="1"/>
  <c r="F13" i="23"/>
  <c r="G13" i="23" s="1"/>
  <c r="AA12" i="23"/>
  <c r="AB12" i="23" s="1"/>
  <c r="T12" i="23"/>
  <c r="U12" i="23" s="1"/>
  <c r="M12" i="23"/>
  <c r="N12" i="23" s="1"/>
  <c r="F12" i="23"/>
  <c r="G12" i="23" s="1"/>
  <c r="AA11" i="23"/>
  <c r="AB11" i="23" s="1"/>
  <c r="U11" i="23"/>
  <c r="T11" i="23"/>
  <c r="M11" i="23"/>
  <c r="N11" i="23" s="1"/>
  <c r="F11" i="23"/>
  <c r="G11" i="23" s="1"/>
  <c r="AA10" i="23"/>
  <c r="AB10" i="23" s="1"/>
  <c r="T10" i="23"/>
  <c r="U10" i="23" s="1"/>
  <c r="M10" i="23"/>
  <c r="N10" i="23" s="1"/>
  <c r="F10" i="23"/>
  <c r="G10" i="23" s="1"/>
  <c r="AA9" i="23"/>
  <c r="AB9" i="23" s="1"/>
  <c r="U9" i="23"/>
  <c r="T9" i="23"/>
  <c r="M9" i="23"/>
  <c r="N9" i="23" s="1"/>
  <c r="F9" i="23"/>
  <c r="G9" i="23" s="1"/>
  <c r="AA8" i="23"/>
  <c r="AB8" i="23" s="1"/>
  <c r="T8" i="23"/>
  <c r="U8" i="23" s="1"/>
  <c r="M8" i="23"/>
  <c r="N8" i="23" s="1"/>
  <c r="F8" i="23"/>
  <c r="G8" i="23" s="1"/>
  <c r="AA7" i="23"/>
  <c r="AB7" i="23" s="1"/>
  <c r="U7" i="23"/>
  <c r="T7" i="23"/>
  <c r="M7" i="23"/>
  <c r="N7" i="23" s="1"/>
  <c r="F7" i="23"/>
  <c r="G7" i="23" s="1"/>
  <c r="AA6" i="23"/>
  <c r="AB6" i="23" s="1"/>
  <c r="T6" i="23"/>
  <c r="U6" i="23" s="1"/>
  <c r="M6" i="23"/>
  <c r="N6" i="23" s="1"/>
  <c r="F6" i="23"/>
  <c r="G6" i="23" s="1"/>
  <c r="AA32" i="22"/>
  <c r="AB32" i="22" s="1"/>
  <c r="T32" i="22"/>
  <c r="U32" i="22" s="1"/>
  <c r="M32" i="22"/>
  <c r="N32" i="22" s="1"/>
  <c r="F32" i="22"/>
  <c r="G32" i="22" s="1"/>
  <c r="AA31" i="22"/>
  <c r="AB31" i="22" s="1"/>
  <c r="T31" i="22"/>
  <c r="U31" i="22" s="1"/>
  <c r="M31" i="22"/>
  <c r="N31" i="22" s="1"/>
  <c r="F31" i="22"/>
  <c r="G31" i="22" s="1"/>
  <c r="AA30" i="22"/>
  <c r="AB30" i="22" s="1"/>
  <c r="T30" i="22"/>
  <c r="U30" i="22" s="1"/>
  <c r="M30" i="22"/>
  <c r="N30" i="22" s="1"/>
  <c r="F30" i="22"/>
  <c r="G30" i="22" s="1"/>
  <c r="AA29" i="22"/>
  <c r="AB29" i="22" s="1"/>
  <c r="T29" i="22"/>
  <c r="U29" i="22" s="1"/>
  <c r="M29" i="22"/>
  <c r="N29" i="22" s="1"/>
  <c r="F29" i="22"/>
  <c r="G29" i="22" s="1"/>
  <c r="AA28" i="22"/>
  <c r="AB28" i="22" s="1"/>
  <c r="T28" i="22"/>
  <c r="U28" i="22" s="1"/>
  <c r="M28" i="22"/>
  <c r="N28" i="22" s="1"/>
  <c r="F28" i="22"/>
  <c r="G28" i="22" s="1"/>
  <c r="AA27" i="22"/>
  <c r="AB27" i="22" s="1"/>
  <c r="T27" i="22"/>
  <c r="U27" i="22" s="1"/>
  <c r="M27" i="22"/>
  <c r="N27" i="22" s="1"/>
  <c r="F27" i="22"/>
  <c r="G27" i="22" s="1"/>
  <c r="AA26" i="22"/>
  <c r="AB26" i="22" s="1"/>
  <c r="T26" i="22"/>
  <c r="U26" i="22" s="1"/>
  <c r="M26" i="22"/>
  <c r="N26" i="22" s="1"/>
  <c r="F26" i="22"/>
  <c r="G26" i="22" s="1"/>
  <c r="AA25" i="22"/>
  <c r="AB25" i="22" s="1"/>
  <c r="T25" i="22"/>
  <c r="U25" i="22" s="1"/>
  <c r="M25" i="22"/>
  <c r="N25" i="22" s="1"/>
  <c r="F25" i="22"/>
  <c r="G25" i="22" s="1"/>
  <c r="AA24" i="22"/>
  <c r="AB24" i="22" s="1"/>
  <c r="T24" i="22"/>
  <c r="U24" i="22" s="1"/>
  <c r="M24" i="22"/>
  <c r="N24" i="22" s="1"/>
  <c r="F24" i="22"/>
  <c r="G24" i="22" s="1"/>
  <c r="AA23" i="22"/>
  <c r="AB23" i="22" s="1"/>
  <c r="T23" i="22"/>
  <c r="U23" i="22" s="1"/>
  <c r="M23" i="22"/>
  <c r="N23" i="22" s="1"/>
  <c r="F23" i="22"/>
  <c r="G23" i="22" s="1"/>
  <c r="AA15" i="22"/>
  <c r="AB15" i="22" s="1"/>
  <c r="T15" i="22"/>
  <c r="U15" i="22" s="1"/>
  <c r="M15" i="22"/>
  <c r="N15" i="22" s="1"/>
  <c r="F15" i="22"/>
  <c r="G15" i="22" s="1"/>
  <c r="AA14" i="22"/>
  <c r="AB14" i="22" s="1"/>
  <c r="T14" i="22"/>
  <c r="U14" i="22" s="1"/>
  <c r="M14" i="22"/>
  <c r="N14" i="22" s="1"/>
  <c r="F14" i="22"/>
  <c r="G14" i="22" s="1"/>
  <c r="AA13" i="22"/>
  <c r="AB13" i="22" s="1"/>
  <c r="T13" i="22"/>
  <c r="U13" i="22" s="1"/>
  <c r="M13" i="22"/>
  <c r="N13" i="22" s="1"/>
  <c r="F13" i="22"/>
  <c r="G13" i="22" s="1"/>
  <c r="AA12" i="22"/>
  <c r="AB12" i="22" s="1"/>
  <c r="T12" i="22"/>
  <c r="U12" i="22" s="1"/>
  <c r="M12" i="22"/>
  <c r="N12" i="22" s="1"/>
  <c r="F12" i="22"/>
  <c r="G12" i="22" s="1"/>
  <c r="AA11" i="22"/>
  <c r="AB11" i="22" s="1"/>
  <c r="T11" i="22"/>
  <c r="U11" i="22" s="1"/>
  <c r="M11" i="22"/>
  <c r="N11" i="22" s="1"/>
  <c r="F11" i="22"/>
  <c r="G11" i="22" s="1"/>
  <c r="AA10" i="22"/>
  <c r="AB10" i="22" s="1"/>
  <c r="T10" i="22"/>
  <c r="U10" i="22" s="1"/>
  <c r="M10" i="22"/>
  <c r="N10" i="22" s="1"/>
  <c r="F10" i="22"/>
  <c r="G10" i="22" s="1"/>
  <c r="AA9" i="22"/>
  <c r="AB9" i="22" s="1"/>
  <c r="T9" i="22"/>
  <c r="U9" i="22" s="1"/>
  <c r="M9" i="22"/>
  <c r="N9" i="22" s="1"/>
  <c r="F9" i="22"/>
  <c r="G9" i="22" s="1"/>
  <c r="AA8" i="22"/>
  <c r="AB8" i="22" s="1"/>
  <c r="T8" i="22"/>
  <c r="U8" i="22" s="1"/>
  <c r="M8" i="22"/>
  <c r="M16" i="22" s="1"/>
  <c r="F8" i="22"/>
  <c r="G8" i="22" s="1"/>
  <c r="AA7" i="22"/>
  <c r="AB7" i="22" s="1"/>
  <c r="T7" i="22"/>
  <c r="U7" i="22" s="1"/>
  <c r="M7" i="22"/>
  <c r="N7" i="22" s="1"/>
  <c r="F7" i="22"/>
  <c r="G7" i="22" s="1"/>
  <c r="AA6" i="22"/>
  <c r="AB6" i="22" s="1"/>
  <c r="AB16" i="22" s="1"/>
  <c r="AB17" i="22" s="1"/>
  <c r="AA18" i="22" s="1"/>
  <c r="T6" i="22"/>
  <c r="U6" i="22" s="1"/>
  <c r="U16" i="22" s="1"/>
  <c r="U17" i="22" s="1"/>
  <c r="T18" i="22" s="1"/>
  <c r="M6" i="22"/>
  <c r="N6" i="22" s="1"/>
  <c r="F6" i="22"/>
  <c r="G6" i="22" s="1"/>
  <c r="G16" i="22" s="1"/>
  <c r="AA32" i="21"/>
  <c r="AB32" i="21" s="1"/>
  <c r="T32" i="21"/>
  <c r="U32" i="21" s="1"/>
  <c r="M32" i="21"/>
  <c r="N32" i="21" s="1"/>
  <c r="F32" i="21"/>
  <c r="G32" i="21" s="1"/>
  <c r="AA31" i="21"/>
  <c r="AB31" i="21" s="1"/>
  <c r="T31" i="21"/>
  <c r="U31" i="21" s="1"/>
  <c r="N31" i="21"/>
  <c r="M31" i="21"/>
  <c r="F31" i="21"/>
  <c r="G31" i="21" s="1"/>
  <c r="AA30" i="21"/>
  <c r="AB30" i="21" s="1"/>
  <c r="T30" i="21"/>
  <c r="U30" i="21" s="1"/>
  <c r="M30" i="21"/>
  <c r="N30" i="21" s="1"/>
  <c r="F30" i="21"/>
  <c r="G30" i="21" s="1"/>
  <c r="AA29" i="21"/>
  <c r="AB29" i="21" s="1"/>
  <c r="T29" i="21"/>
  <c r="U29" i="21" s="1"/>
  <c r="N29" i="21"/>
  <c r="M29" i="21"/>
  <c r="F29" i="21"/>
  <c r="G29" i="21" s="1"/>
  <c r="AA28" i="21"/>
  <c r="AB28" i="21" s="1"/>
  <c r="T28" i="21"/>
  <c r="U28" i="21" s="1"/>
  <c r="M28" i="21"/>
  <c r="N28" i="21" s="1"/>
  <c r="F28" i="21"/>
  <c r="G28" i="21" s="1"/>
  <c r="AA27" i="21"/>
  <c r="AB27" i="21" s="1"/>
  <c r="T27" i="21"/>
  <c r="U27" i="21" s="1"/>
  <c r="N27" i="21"/>
  <c r="M27" i="21"/>
  <c r="F27" i="21"/>
  <c r="G27" i="21" s="1"/>
  <c r="AA26" i="21"/>
  <c r="AB26" i="21" s="1"/>
  <c r="T26" i="21"/>
  <c r="U26" i="21" s="1"/>
  <c r="M26" i="21"/>
  <c r="N26" i="21" s="1"/>
  <c r="F26" i="21"/>
  <c r="G26" i="21" s="1"/>
  <c r="AA25" i="21"/>
  <c r="AB25" i="21" s="1"/>
  <c r="T25" i="21"/>
  <c r="U25" i="21" s="1"/>
  <c r="N25" i="21"/>
  <c r="M25" i="21"/>
  <c r="F25" i="21"/>
  <c r="G25" i="21" s="1"/>
  <c r="AA24" i="21"/>
  <c r="AB24" i="21" s="1"/>
  <c r="T24" i="21"/>
  <c r="U24" i="21" s="1"/>
  <c r="M24" i="21"/>
  <c r="N24" i="21" s="1"/>
  <c r="F24" i="21"/>
  <c r="G24" i="21" s="1"/>
  <c r="AA23" i="21"/>
  <c r="AB23" i="21" s="1"/>
  <c r="T23" i="21"/>
  <c r="U23" i="21" s="1"/>
  <c r="M23" i="21"/>
  <c r="M33" i="21" s="1"/>
  <c r="F23" i="21"/>
  <c r="G23" i="21" s="1"/>
  <c r="AA15" i="21"/>
  <c r="AB15" i="21" s="1"/>
  <c r="T15" i="21"/>
  <c r="U15" i="21" s="1"/>
  <c r="M15" i="21"/>
  <c r="N15" i="21" s="1"/>
  <c r="F15" i="21"/>
  <c r="G15" i="21" s="1"/>
  <c r="AA14" i="21"/>
  <c r="AB14" i="21" s="1"/>
  <c r="T14" i="21"/>
  <c r="U14" i="21" s="1"/>
  <c r="N14" i="21"/>
  <c r="M14" i="21"/>
  <c r="F14" i="21"/>
  <c r="G14" i="21" s="1"/>
  <c r="AA13" i="21"/>
  <c r="AB13" i="21" s="1"/>
  <c r="T13" i="21"/>
  <c r="U13" i="21" s="1"/>
  <c r="M13" i="21"/>
  <c r="N13" i="21" s="1"/>
  <c r="F13" i="21"/>
  <c r="G13" i="21" s="1"/>
  <c r="AA12" i="21"/>
  <c r="AB12" i="21" s="1"/>
  <c r="T12" i="21"/>
  <c r="U12" i="21" s="1"/>
  <c r="N12" i="21"/>
  <c r="M12" i="21"/>
  <c r="F12" i="21"/>
  <c r="G12" i="21" s="1"/>
  <c r="AA11" i="21"/>
  <c r="AB11" i="21" s="1"/>
  <c r="T11" i="21"/>
  <c r="U11" i="21" s="1"/>
  <c r="M11" i="21"/>
  <c r="N11" i="21" s="1"/>
  <c r="F11" i="21"/>
  <c r="G11" i="21" s="1"/>
  <c r="AA10" i="21"/>
  <c r="AB10" i="21" s="1"/>
  <c r="T10" i="21"/>
  <c r="U10" i="21" s="1"/>
  <c r="N10" i="21"/>
  <c r="M10" i="21"/>
  <c r="F10" i="21"/>
  <c r="G10" i="21" s="1"/>
  <c r="AA9" i="21"/>
  <c r="AB9" i="21" s="1"/>
  <c r="T9" i="21"/>
  <c r="U9" i="21" s="1"/>
  <c r="M9" i="21"/>
  <c r="N9" i="21" s="1"/>
  <c r="F9" i="21"/>
  <c r="G9" i="21" s="1"/>
  <c r="AA8" i="21"/>
  <c r="AB8" i="21" s="1"/>
  <c r="T8" i="21"/>
  <c r="T16" i="21" s="1"/>
  <c r="N8" i="21"/>
  <c r="M8" i="21"/>
  <c r="F8" i="21"/>
  <c r="G8" i="21" s="1"/>
  <c r="AA7" i="21"/>
  <c r="AB7" i="21" s="1"/>
  <c r="T7" i="21"/>
  <c r="U7" i="21" s="1"/>
  <c r="M7" i="21"/>
  <c r="N7" i="21" s="1"/>
  <c r="F7" i="21"/>
  <c r="G7" i="21" s="1"/>
  <c r="AA6" i="21"/>
  <c r="AB6" i="21" s="1"/>
  <c r="T6" i="21"/>
  <c r="U6" i="21" s="1"/>
  <c r="N6" i="21"/>
  <c r="M6" i="21"/>
  <c r="M16" i="21" s="1"/>
  <c r="F6" i="21"/>
  <c r="G6" i="21" s="1"/>
  <c r="AA32" i="20"/>
  <c r="AB32" i="20" s="1"/>
  <c r="T32" i="20"/>
  <c r="U32" i="20" s="1"/>
  <c r="M32" i="20"/>
  <c r="N32" i="20" s="1"/>
  <c r="F32" i="20"/>
  <c r="G32" i="20" s="1"/>
  <c r="AA31" i="20"/>
  <c r="AB31" i="20" s="1"/>
  <c r="T31" i="20"/>
  <c r="U31" i="20" s="1"/>
  <c r="M31" i="20"/>
  <c r="N31" i="20" s="1"/>
  <c r="F31" i="20"/>
  <c r="G31" i="20" s="1"/>
  <c r="AA30" i="20"/>
  <c r="AB30" i="20" s="1"/>
  <c r="T30" i="20"/>
  <c r="U30" i="20" s="1"/>
  <c r="M30" i="20"/>
  <c r="N30" i="20" s="1"/>
  <c r="F30" i="20"/>
  <c r="G30" i="20" s="1"/>
  <c r="AA29" i="20"/>
  <c r="AB29" i="20" s="1"/>
  <c r="T29" i="20"/>
  <c r="U29" i="20" s="1"/>
  <c r="M29" i="20"/>
  <c r="N29" i="20" s="1"/>
  <c r="F29" i="20"/>
  <c r="G29" i="20" s="1"/>
  <c r="AA28" i="20"/>
  <c r="AB28" i="20" s="1"/>
  <c r="T28" i="20"/>
  <c r="U28" i="20" s="1"/>
  <c r="M28" i="20"/>
  <c r="N28" i="20" s="1"/>
  <c r="F28" i="20"/>
  <c r="G28" i="20" s="1"/>
  <c r="AA27" i="20"/>
  <c r="AB27" i="20" s="1"/>
  <c r="T27" i="20"/>
  <c r="U27" i="20" s="1"/>
  <c r="M27" i="20"/>
  <c r="N27" i="20" s="1"/>
  <c r="F27" i="20"/>
  <c r="G27" i="20" s="1"/>
  <c r="AA26" i="20"/>
  <c r="AB26" i="20" s="1"/>
  <c r="T26" i="20"/>
  <c r="U26" i="20" s="1"/>
  <c r="M26" i="20"/>
  <c r="N26" i="20" s="1"/>
  <c r="F26" i="20"/>
  <c r="G26" i="20" s="1"/>
  <c r="AA25" i="20"/>
  <c r="AB25" i="20" s="1"/>
  <c r="T25" i="20"/>
  <c r="U25" i="20" s="1"/>
  <c r="M25" i="20"/>
  <c r="N25" i="20" s="1"/>
  <c r="F25" i="20"/>
  <c r="G25" i="20" s="1"/>
  <c r="AA24" i="20"/>
  <c r="AB24" i="20" s="1"/>
  <c r="T24" i="20"/>
  <c r="U24" i="20" s="1"/>
  <c r="M24" i="20"/>
  <c r="N24" i="20" s="1"/>
  <c r="F24" i="20"/>
  <c r="G24" i="20" s="1"/>
  <c r="AA23" i="20"/>
  <c r="AB23" i="20" s="1"/>
  <c r="T23" i="20"/>
  <c r="U23" i="20" s="1"/>
  <c r="M23" i="20"/>
  <c r="N23" i="20" s="1"/>
  <c r="F23" i="20"/>
  <c r="G23" i="20" s="1"/>
  <c r="AA15" i="20"/>
  <c r="AB15" i="20" s="1"/>
  <c r="T15" i="20"/>
  <c r="U15" i="20" s="1"/>
  <c r="M15" i="20"/>
  <c r="N15" i="20" s="1"/>
  <c r="F15" i="20"/>
  <c r="G15" i="20" s="1"/>
  <c r="AA14" i="20"/>
  <c r="AB14" i="20" s="1"/>
  <c r="T14" i="20"/>
  <c r="U14" i="20" s="1"/>
  <c r="M14" i="20"/>
  <c r="N14" i="20" s="1"/>
  <c r="F14" i="20"/>
  <c r="G14" i="20" s="1"/>
  <c r="AA13" i="20"/>
  <c r="AB13" i="20" s="1"/>
  <c r="T13" i="20"/>
  <c r="U13" i="20" s="1"/>
  <c r="M13" i="20"/>
  <c r="N13" i="20" s="1"/>
  <c r="F13" i="20"/>
  <c r="G13" i="20" s="1"/>
  <c r="AA12" i="20"/>
  <c r="AB12" i="20" s="1"/>
  <c r="T12" i="20"/>
  <c r="U12" i="20" s="1"/>
  <c r="M12" i="20"/>
  <c r="N12" i="20" s="1"/>
  <c r="F12" i="20"/>
  <c r="G12" i="20" s="1"/>
  <c r="AA11" i="20"/>
  <c r="AB11" i="20" s="1"/>
  <c r="T11" i="20"/>
  <c r="U11" i="20" s="1"/>
  <c r="M11" i="20"/>
  <c r="N11" i="20" s="1"/>
  <c r="F11" i="20"/>
  <c r="G11" i="20" s="1"/>
  <c r="AA10" i="20"/>
  <c r="AB10" i="20" s="1"/>
  <c r="T10" i="20"/>
  <c r="U10" i="20" s="1"/>
  <c r="M10" i="20"/>
  <c r="N10" i="20" s="1"/>
  <c r="F10" i="20"/>
  <c r="G10" i="20" s="1"/>
  <c r="AA9" i="20"/>
  <c r="AB9" i="20" s="1"/>
  <c r="T9" i="20"/>
  <c r="U9" i="20" s="1"/>
  <c r="M9" i="20"/>
  <c r="N9" i="20" s="1"/>
  <c r="F9" i="20"/>
  <c r="G9" i="20" s="1"/>
  <c r="AA8" i="20"/>
  <c r="AB8" i="20" s="1"/>
  <c r="T8" i="20"/>
  <c r="U8" i="20" s="1"/>
  <c r="M8" i="20"/>
  <c r="F8" i="20"/>
  <c r="G8" i="20" s="1"/>
  <c r="AA7" i="20"/>
  <c r="AB7" i="20" s="1"/>
  <c r="T7" i="20"/>
  <c r="U7" i="20" s="1"/>
  <c r="M7" i="20"/>
  <c r="N7" i="20" s="1"/>
  <c r="F7" i="20"/>
  <c r="G7" i="20" s="1"/>
  <c r="AA6" i="20"/>
  <c r="AB6" i="20" s="1"/>
  <c r="AB16" i="20" s="1"/>
  <c r="AB17" i="20" s="1"/>
  <c r="AA18" i="20" s="1"/>
  <c r="T6" i="20"/>
  <c r="U6" i="20" s="1"/>
  <c r="M6" i="20"/>
  <c r="N6" i="20" s="1"/>
  <c r="F6" i="20"/>
  <c r="G6" i="20" s="1"/>
  <c r="G16" i="20" s="1"/>
  <c r="AA32" i="19"/>
  <c r="AB32" i="19" s="1"/>
  <c r="T32" i="19"/>
  <c r="U32" i="19" s="1"/>
  <c r="M32" i="19"/>
  <c r="N32" i="19" s="1"/>
  <c r="F32" i="19"/>
  <c r="G32" i="19" s="1"/>
  <c r="AA31" i="19"/>
  <c r="AB31" i="19" s="1"/>
  <c r="T31" i="19"/>
  <c r="U31" i="19" s="1"/>
  <c r="N31" i="19"/>
  <c r="M31" i="19"/>
  <c r="F31" i="19"/>
  <c r="G31" i="19" s="1"/>
  <c r="AA30" i="19"/>
  <c r="AB30" i="19" s="1"/>
  <c r="T30" i="19"/>
  <c r="U30" i="19" s="1"/>
  <c r="M30" i="19"/>
  <c r="N30" i="19" s="1"/>
  <c r="F30" i="19"/>
  <c r="G30" i="19" s="1"/>
  <c r="AA29" i="19"/>
  <c r="AB29" i="19" s="1"/>
  <c r="T29" i="19"/>
  <c r="U29" i="19" s="1"/>
  <c r="N29" i="19"/>
  <c r="M29" i="19"/>
  <c r="F29" i="19"/>
  <c r="G29" i="19" s="1"/>
  <c r="AA28" i="19"/>
  <c r="AB28" i="19" s="1"/>
  <c r="T28" i="19"/>
  <c r="U28" i="19" s="1"/>
  <c r="M28" i="19"/>
  <c r="N28" i="19" s="1"/>
  <c r="F28" i="19"/>
  <c r="G28" i="19" s="1"/>
  <c r="AA27" i="19"/>
  <c r="AB27" i="19" s="1"/>
  <c r="T27" i="19"/>
  <c r="U27" i="19" s="1"/>
  <c r="N27" i="19"/>
  <c r="M27" i="19"/>
  <c r="F27" i="19"/>
  <c r="G27" i="19" s="1"/>
  <c r="AA26" i="19"/>
  <c r="AB26" i="19" s="1"/>
  <c r="T26" i="19"/>
  <c r="U26" i="19" s="1"/>
  <c r="M26" i="19"/>
  <c r="N26" i="19" s="1"/>
  <c r="F26" i="19"/>
  <c r="G26" i="19" s="1"/>
  <c r="AA25" i="19"/>
  <c r="AB25" i="19" s="1"/>
  <c r="T25" i="19"/>
  <c r="U25" i="19" s="1"/>
  <c r="N25" i="19"/>
  <c r="M25" i="19"/>
  <c r="F25" i="19"/>
  <c r="G25" i="19" s="1"/>
  <c r="AA24" i="19"/>
  <c r="AB24" i="19" s="1"/>
  <c r="T24" i="19"/>
  <c r="U24" i="19" s="1"/>
  <c r="M24" i="19"/>
  <c r="N24" i="19" s="1"/>
  <c r="F24" i="19"/>
  <c r="G24" i="19" s="1"/>
  <c r="AA23" i="19"/>
  <c r="AB23" i="19" s="1"/>
  <c r="T23" i="19"/>
  <c r="U23" i="19" s="1"/>
  <c r="N23" i="19"/>
  <c r="M23" i="19"/>
  <c r="M33" i="19" s="1"/>
  <c r="F23" i="19"/>
  <c r="G23" i="19" s="1"/>
  <c r="AA15" i="19"/>
  <c r="AB15" i="19" s="1"/>
  <c r="T15" i="19"/>
  <c r="U15" i="19" s="1"/>
  <c r="M15" i="19"/>
  <c r="N15" i="19" s="1"/>
  <c r="F15" i="19"/>
  <c r="G15" i="19" s="1"/>
  <c r="AA14" i="19"/>
  <c r="AB14" i="19" s="1"/>
  <c r="T14" i="19"/>
  <c r="U14" i="19" s="1"/>
  <c r="N14" i="19"/>
  <c r="M14" i="19"/>
  <c r="F14" i="19"/>
  <c r="G14" i="19" s="1"/>
  <c r="AA13" i="19"/>
  <c r="AB13" i="19" s="1"/>
  <c r="T13" i="19"/>
  <c r="U13" i="19" s="1"/>
  <c r="M13" i="19"/>
  <c r="N13" i="19" s="1"/>
  <c r="F13" i="19"/>
  <c r="G13" i="19" s="1"/>
  <c r="AA12" i="19"/>
  <c r="AB12" i="19" s="1"/>
  <c r="T12" i="19"/>
  <c r="U12" i="19" s="1"/>
  <c r="N12" i="19"/>
  <c r="M12" i="19"/>
  <c r="F12" i="19"/>
  <c r="G12" i="19" s="1"/>
  <c r="AA11" i="19"/>
  <c r="AB11" i="19" s="1"/>
  <c r="T11" i="19"/>
  <c r="U11" i="19" s="1"/>
  <c r="M11" i="19"/>
  <c r="N11" i="19" s="1"/>
  <c r="F11" i="19"/>
  <c r="G11" i="19" s="1"/>
  <c r="AA10" i="19"/>
  <c r="AB10" i="19" s="1"/>
  <c r="T10" i="19"/>
  <c r="U10" i="19" s="1"/>
  <c r="N10" i="19"/>
  <c r="M10" i="19"/>
  <c r="F10" i="19"/>
  <c r="G10" i="19" s="1"/>
  <c r="AA9" i="19"/>
  <c r="AB9" i="19" s="1"/>
  <c r="T9" i="19"/>
  <c r="U9" i="19" s="1"/>
  <c r="M9" i="19"/>
  <c r="N9" i="19" s="1"/>
  <c r="F9" i="19"/>
  <c r="G9" i="19" s="1"/>
  <c r="AA8" i="19"/>
  <c r="AB8" i="19" s="1"/>
  <c r="T8" i="19"/>
  <c r="U8" i="19" s="1"/>
  <c r="N8" i="19"/>
  <c r="M8" i="19"/>
  <c r="F8" i="19"/>
  <c r="G8" i="19" s="1"/>
  <c r="AA7" i="19"/>
  <c r="AB7" i="19" s="1"/>
  <c r="T7" i="19"/>
  <c r="U7" i="19" s="1"/>
  <c r="M7" i="19"/>
  <c r="N7" i="19" s="1"/>
  <c r="F7" i="19"/>
  <c r="G7" i="19" s="1"/>
  <c r="AA6" i="19"/>
  <c r="AB6" i="19" s="1"/>
  <c r="T6" i="19"/>
  <c r="U6" i="19" s="1"/>
  <c r="N6" i="19"/>
  <c r="M6" i="19"/>
  <c r="M16" i="19" s="1"/>
  <c r="F6" i="19"/>
  <c r="G6" i="19" s="1"/>
  <c r="AA32" i="18"/>
  <c r="AB32" i="18" s="1"/>
  <c r="T32" i="18"/>
  <c r="U32" i="18" s="1"/>
  <c r="M32" i="18"/>
  <c r="N32" i="18" s="1"/>
  <c r="F32" i="18"/>
  <c r="G32" i="18" s="1"/>
  <c r="AB31" i="18"/>
  <c r="AA31" i="18"/>
  <c r="T31" i="18"/>
  <c r="U31" i="18" s="1"/>
  <c r="N31" i="18"/>
  <c r="M31" i="18"/>
  <c r="F31" i="18"/>
  <c r="G31" i="18" s="1"/>
  <c r="AA30" i="18"/>
  <c r="AB30" i="18" s="1"/>
  <c r="T30" i="18"/>
  <c r="U30" i="18" s="1"/>
  <c r="M30" i="18"/>
  <c r="N30" i="18" s="1"/>
  <c r="F30" i="18"/>
  <c r="G30" i="18" s="1"/>
  <c r="AB29" i="18"/>
  <c r="AA29" i="18"/>
  <c r="T29" i="18"/>
  <c r="U29" i="18" s="1"/>
  <c r="N29" i="18"/>
  <c r="M29" i="18"/>
  <c r="F29" i="18"/>
  <c r="G29" i="18" s="1"/>
  <c r="AA28" i="18"/>
  <c r="AB28" i="18" s="1"/>
  <c r="T28" i="18"/>
  <c r="U28" i="18" s="1"/>
  <c r="M28" i="18"/>
  <c r="N28" i="18" s="1"/>
  <c r="F28" i="18"/>
  <c r="G28" i="18" s="1"/>
  <c r="AB27" i="18"/>
  <c r="AA27" i="18"/>
  <c r="T27" i="18"/>
  <c r="U27" i="18" s="1"/>
  <c r="N27" i="18"/>
  <c r="M27" i="18"/>
  <c r="F27" i="18"/>
  <c r="G27" i="18" s="1"/>
  <c r="AA26" i="18"/>
  <c r="AB26" i="18" s="1"/>
  <c r="T26" i="18"/>
  <c r="U26" i="18" s="1"/>
  <c r="M26" i="18"/>
  <c r="N26" i="18" s="1"/>
  <c r="F26" i="18"/>
  <c r="G26" i="18" s="1"/>
  <c r="AB25" i="18"/>
  <c r="AA25" i="18"/>
  <c r="T25" i="18"/>
  <c r="U25" i="18" s="1"/>
  <c r="N25" i="18"/>
  <c r="M25" i="18"/>
  <c r="F25" i="18"/>
  <c r="G25" i="18" s="1"/>
  <c r="AA24" i="18"/>
  <c r="AB24" i="18" s="1"/>
  <c r="T24" i="18"/>
  <c r="U24" i="18" s="1"/>
  <c r="M24" i="18"/>
  <c r="N24" i="18" s="1"/>
  <c r="F24" i="18"/>
  <c r="G24" i="18" s="1"/>
  <c r="AB23" i="18"/>
  <c r="AB33" i="18" s="1"/>
  <c r="AB34" i="18" s="1"/>
  <c r="AA35" i="18" s="1"/>
  <c r="AA23" i="18"/>
  <c r="AA33" i="18" s="1"/>
  <c r="T23" i="18"/>
  <c r="U23" i="18" s="1"/>
  <c r="N23" i="18"/>
  <c r="M23" i="18"/>
  <c r="M33" i="18" s="1"/>
  <c r="F23" i="18"/>
  <c r="G23" i="18" s="1"/>
  <c r="AA15" i="18"/>
  <c r="AB15" i="18" s="1"/>
  <c r="T15" i="18"/>
  <c r="U15" i="18" s="1"/>
  <c r="M15" i="18"/>
  <c r="N15" i="18" s="1"/>
  <c r="F15" i="18"/>
  <c r="G15" i="18" s="1"/>
  <c r="AB14" i="18"/>
  <c r="AA14" i="18"/>
  <c r="T14" i="18"/>
  <c r="U14" i="18" s="1"/>
  <c r="N14" i="18"/>
  <c r="M14" i="18"/>
  <c r="F14" i="18"/>
  <c r="G14" i="18" s="1"/>
  <c r="AA13" i="18"/>
  <c r="AB13" i="18" s="1"/>
  <c r="T13" i="18"/>
  <c r="U13" i="18" s="1"/>
  <c r="M13" i="18"/>
  <c r="N13" i="18" s="1"/>
  <c r="F13" i="18"/>
  <c r="G13" i="18" s="1"/>
  <c r="AB12" i="18"/>
  <c r="AA12" i="18"/>
  <c r="T12" i="18"/>
  <c r="U12" i="18" s="1"/>
  <c r="N12" i="18"/>
  <c r="M12" i="18"/>
  <c r="F12" i="18"/>
  <c r="G12" i="18" s="1"/>
  <c r="AA11" i="18"/>
  <c r="AB11" i="18" s="1"/>
  <c r="T11" i="18"/>
  <c r="U11" i="18" s="1"/>
  <c r="M11" i="18"/>
  <c r="N11" i="18" s="1"/>
  <c r="F11" i="18"/>
  <c r="G11" i="18" s="1"/>
  <c r="AB10" i="18"/>
  <c r="AA10" i="18"/>
  <c r="T10" i="18"/>
  <c r="U10" i="18" s="1"/>
  <c r="N10" i="18"/>
  <c r="M10" i="18"/>
  <c r="F10" i="18"/>
  <c r="G10" i="18" s="1"/>
  <c r="AA9" i="18"/>
  <c r="AB9" i="18" s="1"/>
  <c r="T9" i="18"/>
  <c r="U9" i="18" s="1"/>
  <c r="M9" i="18"/>
  <c r="N9" i="18" s="1"/>
  <c r="F9" i="18"/>
  <c r="G9" i="18" s="1"/>
  <c r="AA8" i="18"/>
  <c r="AB8" i="18" s="1"/>
  <c r="T8" i="18"/>
  <c r="U8" i="18" s="1"/>
  <c r="N8" i="18"/>
  <c r="M8" i="18"/>
  <c r="F8" i="18"/>
  <c r="G8" i="18" s="1"/>
  <c r="AA7" i="18"/>
  <c r="AB7" i="18" s="1"/>
  <c r="T7" i="18"/>
  <c r="U7" i="18" s="1"/>
  <c r="M7" i="18"/>
  <c r="N7" i="18" s="1"/>
  <c r="F7" i="18"/>
  <c r="G7" i="18" s="1"/>
  <c r="AA6" i="18"/>
  <c r="AB6" i="18" s="1"/>
  <c r="AB16" i="18" s="1"/>
  <c r="AB17" i="18" s="1"/>
  <c r="AA18" i="18" s="1"/>
  <c r="T6" i="18"/>
  <c r="T16" i="18" s="1"/>
  <c r="N6" i="18"/>
  <c r="M6" i="18"/>
  <c r="M16" i="18" s="1"/>
  <c r="F6" i="18"/>
  <c r="G6" i="18" s="1"/>
  <c r="AA32" i="17"/>
  <c r="AB32" i="17" s="1"/>
  <c r="T32" i="17"/>
  <c r="U32" i="17" s="1"/>
  <c r="M32" i="17"/>
  <c r="N32" i="17" s="1"/>
  <c r="F32" i="17"/>
  <c r="G32" i="17" s="1"/>
  <c r="AA31" i="17"/>
  <c r="AB31" i="17" s="1"/>
  <c r="T31" i="17"/>
  <c r="U31" i="17" s="1"/>
  <c r="N31" i="17"/>
  <c r="M31" i="17"/>
  <c r="F31" i="17"/>
  <c r="G31" i="17" s="1"/>
  <c r="AA30" i="17"/>
  <c r="AB30" i="17" s="1"/>
  <c r="T30" i="17"/>
  <c r="U30" i="17" s="1"/>
  <c r="M30" i="17"/>
  <c r="N30" i="17" s="1"/>
  <c r="F30" i="17"/>
  <c r="G30" i="17" s="1"/>
  <c r="AA29" i="17"/>
  <c r="AB29" i="17" s="1"/>
  <c r="T29" i="17"/>
  <c r="U29" i="17" s="1"/>
  <c r="N29" i="17"/>
  <c r="M29" i="17"/>
  <c r="F29" i="17"/>
  <c r="G29" i="17" s="1"/>
  <c r="AA28" i="17"/>
  <c r="AB28" i="17" s="1"/>
  <c r="T28" i="17"/>
  <c r="U28" i="17" s="1"/>
  <c r="M28" i="17"/>
  <c r="N28" i="17" s="1"/>
  <c r="F28" i="17"/>
  <c r="G28" i="17" s="1"/>
  <c r="AA27" i="17"/>
  <c r="AB27" i="17" s="1"/>
  <c r="T27" i="17"/>
  <c r="U27" i="17" s="1"/>
  <c r="N27" i="17"/>
  <c r="M27" i="17"/>
  <c r="F27" i="17"/>
  <c r="G27" i="17" s="1"/>
  <c r="AA26" i="17"/>
  <c r="AB26" i="17" s="1"/>
  <c r="T26" i="17"/>
  <c r="U26" i="17" s="1"/>
  <c r="M26" i="17"/>
  <c r="N26" i="17" s="1"/>
  <c r="F26" i="17"/>
  <c r="G26" i="17" s="1"/>
  <c r="AA25" i="17"/>
  <c r="AB25" i="17" s="1"/>
  <c r="T25" i="17"/>
  <c r="U25" i="17" s="1"/>
  <c r="N25" i="17"/>
  <c r="M25" i="17"/>
  <c r="F25" i="17"/>
  <c r="G25" i="17" s="1"/>
  <c r="AA24" i="17"/>
  <c r="AB24" i="17" s="1"/>
  <c r="T24" i="17"/>
  <c r="U24" i="17" s="1"/>
  <c r="M24" i="17"/>
  <c r="N24" i="17" s="1"/>
  <c r="F24" i="17"/>
  <c r="G24" i="17" s="1"/>
  <c r="AA23" i="17"/>
  <c r="AB23" i="17" s="1"/>
  <c r="T23" i="17"/>
  <c r="U23" i="17" s="1"/>
  <c r="M23" i="17"/>
  <c r="F23" i="17"/>
  <c r="G23" i="17" s="1"/>
  <c r="AA15" i="17"/>
  <c r="AB15" i="17" s="1"/>
  <c r="T15" i="17"/>
  <c r="U15" i="17" s="1"/>
  <c r="M15" i="17"/>
  <c r="N15" i="17" s="1"/>
  <c r="F15" i="17"/>
  <c r="G15" i="17" s="1"/>
  <c r="AA14" i="17"/>
  <c r="AB14" i="17" s="1"/>
  <c r="T14" i="17"/>
  <c r="U14" i="17" s="1"/>
  <c r="N14" i="17"/>
  <c r="M14" i="17"/>
  <c r="F14" i="17"/>
  <c r="G14" i="17" s="1"/>
  <c r="AA13" i="17"/>
  <c r="AB13" i="17" s="1"/>
  <c r="T13" i="17"/>
  <c r="U13" i="17" s="1"/>
  <c r="M13" i="17"/>
  <c r="N13" i="17" s="1"/>
  <c r="F13" i="17"/>
  <c r="G13" i="17" s="1"/>
  <c r="AA12" i="17"/>
  <c r="AB12" i="17" s="1"/>
  <c r="T12" i="17"/>
  <c r="U12" i="17" s="1"/>
  <c r="N12" i="17"/>
  <c r="M12" i="17"/>
  <c r="F12" i="17"/>
  <c r="G12" i="17" s="1"/>
  <c r="AA11" i="17"/>
  <c r="AB11" i="17" s="1"/>
  <c r="T11" i="17"/>
  <c r="U11" i="17" s="1"/>
  <c r="M11" i="17"/>
  <c r="N11" i="17" s="1"/>
  <c r="F11" i="17"/>
  <c r="G11" i="17" s="1"/>
  <c r="AA10" i="17"/>
  <c r="AB10" i="17" s="1"/>
  <c r="T10" i="17"/>
  <c r="U10" i="17" s="1"/>
  <c r="N10" i="17"/>
  <c r="M10" i="17"/>
  <c r="F10" i="17"/>
  <c r="G10" i="17" s="1"/>
  <c r="AA9" i="17"/>
  <c r="AB9" i="17" s="1"/>
  <c r="T9" i="17"/>
  <c r="U9" i="17" s="1"/>
  <c r="M9" i="17"/>
  <c r="N9" i="17" s="1"/>
  <c r="F9" i="17"/>
  <c r="G9" i="17" s="1"/>
  <c r="AA8" i="17"/>
  <c r="AB8" i="17" s="1"/>
  <c r="T8" i="17"/>
  <c r="U8" i="17" s="1"/>
  <c r="N8" i="17"/>
  <c r="M8" i="17"/>
  <c r="F8" i="17"/>
  <c r="G8" i="17" s="1"/>
  <c r="AA7" i="17"/>
  <c r="AB7" i="17" s="1"/>
  <c r="T7" i="17"/>
  <c r="U7" i="17" s="1"/>
  <c r="M7" i="17"/>
  <c r="N7" i="17" s="1"/>
  <c r="F7" i="17"/>
  <c r="G7" i="17" s="1"/>
  <c r="AA6" i="17"/>
  <c r="AB6" i="17" s="1"/>
  <c r="T6" i="17"/>
  <c r="U6" i="17" s="1"/>
  <c r="M6" i="17"/>
  <c r="M16" i="17" s="1"/>
  <c r="F6" i="17"/>
  <c r="G6" i="17" s="1"/>
  <c r="AA32" i="16"/>
  <c r="AB32" i="16" s="1"/>
  <c r="T32" i="16"/>
  <c r="U32" i="16" s="1"/>
  <c r="M32" i="16"/>
  <c r="N32" i="16" s="1"/>
  <c r="F32" i="16"/>
  <c r="G32" i="16" s="1"/>
  <c r="AA31" i="16"/>
  <c r="AB31" i="16" s="1"/>
  <c r="T31" i="16"/>
  <c r="U31" i="16" s="1"/>
  <c r="N31" i="16"/>
  <c r="M31" i="16"/>
  <c r="F31" i="16"/>
  <c r="G31" i="16" s="1"/>
  <c r="AA30" i="16"/>
  <c r="AB30" i="16" s="1"/>
  <c r="T30" i="16"/>
  <c r="U30" i="16" s="1"/>
  <c r="M30" i="16"/>
  <c r="N30" i="16" s="1"/>
  <c r="F30" i="16"/>
  <c r="G30" i="16" s="1"/>
  <c r="AA29" i="16"/>
  <c r="AB29" i="16" s="1"/>
  <c r="T29" i="16"/>
  <c r="U29" i="16" s="1"/>
  <c r="N29" i="16"/>
  <c r="M29" i="16"/>
  <c r="F29" i="16"/>
  <c r="G29" i="16" s="1"/>
  <c r="AA28" i="16"/>
  <c r="AB28" i="16" s="1"/>
  <c r="T28" i="16"/>
  <c r="U28" i="16" s="1"/>
  <c r="M28" i="16"/>
  <c r="N28" i="16" s="1"/>
  <c r="F28" i="16"/>
  <c r="G28" i="16" s="1"/>
  <c r="AA27" i="16"/>
  <c r="AB27" i="16" s="1"/>
  <c r="T27" i="16"/>
  <c r="U27" i="16" s="1"/>
  <c r="N27" i="16"/>
  <c r="M27" i="16"/>
  <c r="F27" i="16"/>
  <c r="G27" i="16" s="1"/>
  <c r="AA26" i="16"/>
  <c r="AB26" i="16" s="1"/>
  <c r="T26" i="16"/>
  <c r="U26" i="16" s="1"/>
  <c r="M26" i="16"/>
  <c r="N26" i="16" s="1"/>
  <c r="F26" i="16"/>
  <c r="G26" i="16" s="1"/>
  <c r="AA25" i="16"/>
  <c r="AB25" i="16" s="1"/>
  <c r="T25" i="16"/>
  <c r="U25" i="16" s="1"/>
  <c r="N25" i="16"/>
  <c r="M25" i="16"/>
  <c r="F25" i="16"/>
  <c r="G25" i="16" s="1"/>
  <c r="AA24" i="16"/>
  <c r="AB24" i="16" s="1"/>
  <c r="T24" i="16"/>
  <c r="U24" i="16" s="1"/>
  <c r="M24" i="16"/>
  <c r="N24" i="16" s="1"/>
  <c r="F24" i="16"/>
  <c r="G24" i="16" s="1"/>
  <c r="AA23" i="16"/>
  <c r="AB23" i="16" s="1"/>
  <c r="T23" i="16"/>
  <c r="U23" i="16" s="1"/>
  <c r="M23" i="16"/>
  <c r="M33" i="16" s="1"/>
  <c r="F23" i="16"/>
  <c r="G23" i="16" s="1"/>
  <c r="AA15" i="16"/>
  <c r="AB15" i="16" s="1"/>
  <c r="T15" i="16"/>
  <c r="U15" i="16" s="1"/>
  <c r="M15" i="16"/>
  <c r="N15" i="16" s="1"/>
  <c r="F15" i="16"/>
  <c r="G15" i="16" s="1"/>
  <c r="AA14" i="16"/>
  <c r="AB14" i="16" s="1"/>
  <c r="T14" i="16"/>
  <c r="U14" i="16" s="1"/>
  <c r="N14" i="16"/>
  <c r="M14" i="16"/>
  <c r="F14" i="16"/>
  <c r="G14" i="16" s="1"/>
  <c r="AA13" i="16"/>
  <c r="AB13" i="16" s="1"/>
  <c r="T13" i="16"/>
  <c r="U13" i="16" s="1"/>
  <c r="M13" i="16"/>
  <c r="N13" i="16" s="1"/>
  <c r="F13" i="16"/>
  <c r="G13" i="16" s="1"/>
  <c r="AA12" i="16"/>
  <c r="AB12" i="16" s="1"/>
  <c r="T12" i="16"/>
  <c r="U12" i="16" s="1"/>
  <c r="N12" i="16"/>
  <c r="M12" i="16"/>
  <c r="F12" i="16"/>
  <c r="G12" i="16" s="1"/>
  <c r="AA11" i="16"/>
  <c r="AB11" i="16" s="1"/>
  <c r="T11" i="16"/>
  <c r="U11" i="16" s="1"/>
  <c r="M11" i="16"/>
  <c r="N11" i="16" s="1"/>
  <c r="F11" i="16"/>
  <c r="G11" i="16" s="1"/>
  <c r="AA10" i="16"/>
  <c r="AB10" i="16" s="1"/>
  <c r="T10" i="16"/>
  <c r="U10" i="16" s="1"/>
  <c r="N10" i="16"/>
  <c r="M10" i="16"/>
  <c r="F10" i="16"/>
  <c r="G10" i="16" s="1"/>
  <c r="AA9" i="16"/>
  <c r="AB9" i="16" s="1"/>
  <c r="T9" i="16"/>
  <c r="U9" i="16" s="1"/>
  <c r="M9" i="16"/>
  <c r="N9" i="16" s="1"/>
  <c r="F9" i="16"/>
  <c r="G9" i="16" s="1"/>
  <c r="AA8" i="16"/>
  <c r="AB8" i="16" s="1"/>
  <c r="T8" i="16"/>
  <c r="U8" i="16" s="1"/>
  <c r="N8" i="16"/>
  <c r="M8" i="16"/>
  <c r="F8" i="16"/>
  <c r="G8" i="16" s="1"/>
  <c r="AA7" i="16"/>
  <c r="AB7" i="16" s="1"/>
  <c r="T7" i="16"/>
  <c r="U7" i="16" s="1"/>
  <c r="M7" i="16"/>
  <c r="N7" i="16" s="1"/>
  <c r="F7" i="16"/>
  <c r="G7" i="16" s="1"/>
  <c r="AA6" i="16"/>
  <c r="AB6" i="16" s="1"/>
  <c r="T6" i="16"/>
  <c r="U6" i="16" s="1"/>
  <c r="N6" i="16"/>
  <c r="M6" i="16"/>
  <c r="M16" i="16" s="1"/>
  <c r="F6" i="16"/>
  <c r="G6" i="16" s="1"/>
  <c r="AA32" i="15"/>
  <c r="AB32" i="15" s="1"/>
  <c r="T32" i="15"/>
  <c r="U32" i="15" s="1"/>
  <c r="M32" i="15"/>
  <c r="N32" i="15" s="1"/>
  <c r="F32" i="15"/>
  <c r="G32" i="15" s="1"/>
  <c r="AA31" i="15"/>
  <c r="AB31" i="15" s="1"/>
  <c r="T31" i="15"/>
  <c r="U31" i="15" s="1"/>
  <c r="N31" i="15"/>
  <c r="M31" i="15"/>
  <c r="F31" i="15"/>
  <c r="G31" i="15" s="1"/>
  <c r="AA30" i="15"/>
  <c r="AB30" i="15" s="1"/>
  <c r="T30" i="15"/>
  <c r="U30" i="15" s="1"/>
  <c r="M30" i="15"/>
  <c r="N30" i="15" s="1"/>
  <c r="F30" i="15"/>
  <c r="G30" i="15" s="1"/>
  <c r="AA29" i="15"/>
  <c r="AB29" i="15" s="1"/>
  <c r="T29" i="15"/>
  <c r="U29" i="15" s="1"/>
  <c r="N29" i="15"/>
  <c r="M29" i="15"/>
  <c r="F29" i="15"/>
  <c r="G29" i="15" s="1"/>
  <c r="AA28" i="15"/>
  <c r="AB28" i="15" s="1"/>
  <c r="T28" i="15"/>
  <c r="U28" i="15" s="1"/>
  <c r="M28" i="15"/>
  <c r="N28" i="15" s="1"/>
  <c r="F28" i="15"/>
  <c r="G28" i="15" s="1"/>
  <c r="AA27" i="15"/>
  <c r="AB27" i="15" s="1"/>
  <c r="T27" i="15"/>
  <c r="U27" i="15" s="1"/>
  <c r="N27" i="15"/>
  <c r="M27" i="15"/>
  <c r="F27" i="15"/>
  <c r="G27" i="15" s="1"/>
  <c r="AA26" i="15"/>
  <c r="AB26" i="15" s="1"/>
  <c r="T26" i="15"/>
  <c r="U26" i="15" s="1"/>
  <c r="M26" i="15"/>
  <c r="N26" i="15" s="1"/>
  <c r="F26" i="15"/>
  <c r="G26" i="15" s="1"/>
  <c r="AA25" i="15"/>
  <c r="AB25" i="15" s="1"/>
  <c r="T25" i="15"/>
  <c r="U25" i="15" s="1"/>
  <c r="N25" i="15"/>
  <c r="M25" i="15"/>
  <c r="F25" i="15"/>
  <c r="G25" i="15" s="1"/>
  <c r="AA24" i="15"/>
  <c r="AB24" i="15" s="1"/>
  <c r="T24" i="15"/>
  <c r="U24" i="15" s="1"/>
  <c r="M24" i="15"/>
  <c r="N24" i="15" s="1"/>
  <c r="F24" i="15"/>
  <c r="G24" i="15" s="1"/>
  <c r="AA23" i="15"/>
  <c r="AB23" i="15" s="1"/>
  <c r="T23" i="15"/>
  <c r="U23" i="15" s="1"/>
  <c r="N23" i="15"/>
  <c r="M23" i="15"/>
  <c r="M33" i="15" s="1"/>
  <c r="F23" i="15"/>
  <c r="G23" i="15" s="1"/>
  <c r="AA15" i="15"/>
  <c r="AB15" i="15" s="1"/>
  <c r="T15" i="15"/>
  <c r="U15" i="15" s="1"/>
  <c r="M15" i="15"/>
  <c r="N15" i="15" s="1"/>
  <c r="F15" i="15"/>
  <c r="G15" i="15" s="1"/>
  <c r="AA14" i="15"/>
  <c r="AB14" i="15" s="1"/>
  <c r="T14" i="15"/>
  <c r="U14" i="15" s="1"/>
  <c r="N14" i="15"/>
  <c r="M14" i="15"/>
  <c r="F14" i="15"/>
  <c r="G14" i="15" s="1"/>
  <c r="AA13" i="15"/>
  <c r="AB13" i="15" s="1"/>
  <c r="T13" i="15"/>
  <c r="U13" i="15" s="1"/>
  <c r="M13" i="15"/>
  <c r="N13" i="15" s="1"/>
  <c r="F13" i="15"/>
  <c r="G13" i="15" s="1"/>
  <c r="AA12" i="15"/>
  <c r="AB12" i="15" s="1"/>
  <c r="T12" i="15"/>
  <c r="U12" i="15" s="1"/>
  <c r="N12" i="15"/>
  <c r="M12" i="15"/>
  <c r="F12" i="15"/>
  <c r="G12" i="15" s="1"/>
  <c r="AA11" i="15"/>
  <c r="AB11" i="15" s="1"/>
  <c r="T11" i="15"/>
  <c r="U11" i="15" s="1"/>
  <c r="M11" i="15"/>
  <c r="N11" i="15" s="1"/>
  <c r="F11" i="15"/>
  <c r="G11" i="15" s="1"/>
  <c r="AA10" i="15"/>
  <c r="AB10" i="15" s="1"/>
  <c r="T10" i="15"/>
  <c r="U10" i="15" s="1"/>
  <c r="N10" i="15"/>
  <c r="M10" i="15"/>
  <c r="F10" i="15"/>
  <c r="G10" i="15" s="1"/>
  <c r="AA9" i="15"/>
  <c r="AB9" i="15" s="1"/>
  <c r="T9" i="15"/>
  <c r="U9" i="15" s="1"/>
  <c r="M9" i="15"/>
  <c r="N9" i="15" s="1"/>
  <c r="F9" i="15"/>
  <c r="G9" i="15" s="1"/>
  <c r="AA8" i="15"/>
  <c r="AB8" i="15" s="1"/>
  <c r="T8" i="15"/>
  <c r="U8" i="15" s="1"/>
  <c r="N8" i="15"/>
  <c r="M8" i="15"/>
  <c r="F8" i="15"/>
  <c r="G8" i="15" s="1"/>
  <c r="AA7" i="15"/>
  <c r="AB7" i="15" s="1"/>
  <c r="T7" i="15"/>
  <c r="U7" i="15" s="1"/>
  <c r="M7" i="15"/>
  <c r="N7" i="15" s="1"/>
  <c r="F7" i="15"/>
  <c r="G7" i="15" s="1"/>
  <c r="AA6" i="15"/>
  <c r="AA16" i="15" s="1"/>
  <c r="T6" i="15"/>
  <c r="U6" i="15" s="1"/>
  <c r="N6" i="15"/>
  <c r="M6" i="15"/>
  <c r="M16" i="15" s="1"/>
  <c r="F6" i="15"/>
  <c r="G6" i="15" s="1"/>
  <c r="AA32" i="14"/>
  <c r="AB32" i="14" s="1"/>
  <c r="T32" i="14"/>
  <c r="U32" i="14" s="1"/>
  <c r="M32" i="14"/>
  <c r="N32" i="14" s="1"/>
  <c r="F32" i="14"/>
  <c r="G32" i="14" s="1"/>
  <c r="AA31" i="14"/>
  <c r="AB31" i="14" s="1"/>
  <c r="T31" i="14"/>
  <c r="U31" i="14" s="1"/>
  <c r="N31" i="14"/>
  <c r="M31" i="14"/>
  <c r="F31" i="14"/>
  <c r="G31" i="14" s="1"/>
  <c r="AA30" i="14"/>
  <c r="AB30" i="14" s="1"/>
  <c r="T30" i="14"/>
  <c r="U30" i="14" s="1"/>
  <c r="M30" i="14"/>
  <c r="N30" i="14" s="1"/>
  <c r="F30" i="14"/>
  <c r="G30" i="14" s="1"/>
  <c r="AA29" i="14"/>
  <c r="AB29" i="14" s="1"/>
  <c r="T29" i="14"/>
  <c r="U29" i="14" s="1"/>
  <c r="N29" i="14"/>
  <c r="M29" i="14"/>
  <c r="F29" i="14"/>
  <c r="G29" i="14" s="1"/>
  <c r="AA28" i="14"/>
  <c r="AB28" i="14" s="1"/>
  <c r="T28" i="14"/>
  <c r="U28" i="14" s="1"/>
  <c r="M28" i="14"/>
  <c r="N28" i="14" s="1"/>
  <c r="F28" i="14"/>
  <c r="G28" i="14" s="1"/>
  <c r="AA27" i="14"/>
  <c r="AB27" i="14" s="1"/>
  <c r="T27" i="14"/>
  <c r="U27" i="14" s="1"/>
  <c r="N27" i="14"/>
  <c r="M27" i="14"/>
  <c r="F27" i="14"/>
  <c r="G27" i="14" s="1"/>
  <c r="AA26" i="14"/>
  <c r="AB26" i="14" s="1"/>
  <c r="T26" i="14"/>
  <c r="U26" i="14" s="1"/>
  <c r="M26" i="14"/>
  <c r="N26" i="14" s="1"/>
  <c r="F26" i="14"/>
  <c r="G26" i="14" s="1"/>
  <c r="AA25" i="14"/>
  <c r="AB25" i="14" s="1"/>
  <c r="T25" i="14"/>
  <c r="U25" i="14" s="1"/>
  <c r="N25" i="14"/>
  <c r="M25" i="14"/>
  <c r="F25" i="14"/>
  <c r="G25" i="14" s="1"/>
  <c r="AA24" i="14"/>
  <c r="AB24" i="14" s="1"/>
  <c r="T24" i="14"/>
  <c r="U24" i="14" s="1"/>
  <c r="M24" i="14"/>
  <c r="N24" i="14" s="1"/>
  <c r="F24" i="14"/>
  <c r="G24" i="14" s="1"/>
  <c r="AA23" i="14"/>
  <c r="AB23" i="14" s="1"/>
  <c r="T23" i="14"/>
  <c r="U23" i="14" s="1"/>
  <c r="N23" i="14"/>
  <c r="M23" i="14"/>
  <c r="M33" i="14" s="1"/>
  <c r="F23" i="14"/>
  <c r="G23" i="14" s="1"/>
  <c r="AA15" i="14"/>
  <c r="AB15" i="14" s="1"/>
  <c r="T15" i="14"/>
  <c r="U15" i="14" s="1"/>
  <c r="M15" i="14"/>
  <c r="N15" i="14" s="1"/>
  <c r="F15" i="14"/>
  <c r="G15" i="14" s="1"/>
  <c r="AA14" i="14"/>
  <c r="AB14" i="14" s="1"/>
  <c r="T14" i="14"/>
  <c r="U14" i="14" s="1"/>
  <c r="N14" i="14"/>
  <c r="M14" i="14"/>
  <c r="F14" i="14"/>
  <c r="G14" i="14" s="1"/>
  <c r="AA13" i="14"/>
  <c r="AB13" i="14" s="1"/>
  <c r="T13" i="14"/>
  <c r="U13" i="14" s="1"/>
  <c r="M13" i="14"/>
  <c r="N13" i="14" s="1"/>
  <c r="F13" i="14"/>
  <c r="G13" i="14" s="1"/>
  <c r="AA12" i="14"/>
  <c r="AB12" i="14" s="1"/>
  <c r="T12" i="14"/>
  <c r="U12" i="14" s="1"/>
  <c r="N12" i="14"/>
  <c r="M12" i="14"/>
  <c r="F12" i="14"/>
  <c r="G12" i="14" s="1"/>
  <c r="AA11" i="14"/>
  <c r="AB11" i="14" s="1"/>
  <c r="T11" i="14"/>
  <c r="U11" i="14" s="1"/>
  <c r="M11" i="14"/>
  <c r="N11" i="14" s="1"/>
  <c r="F11" i="14"/>
  <c r="G11" i="14" s="1"/>
  <c r="AA10" i="14"/>
  <c r="AB10" i="14" s="1"/>
  <c r="T10" i="14"/>
  <c r="U10" i="14" s="1"/>
  <c r="N10" i="14"/>
  <c r="M10" i="14"/>
  <c r="F10" i="14"/>
  <c r="G10" i="14" s="1"/>
  <c r="AA9" i="14"/>
  <c r="AB9" i="14" s="1"/>
  <c r="T9" i="14"/>
  <c r="U9" i="14" s="1"/>
  <c r="M9" i="14"/>
  <c r="N9" i="14" s="1"/>
  <c r="F9" i="14"/>
  <c r="G9" i="14" s="1"/>
  <c r="AA8" i="14"/>
  <c r="AB8" i="14" s="1"/>
  <c r="T8" i="14"/>
  <c r="U8" i="14" s="1"/>
  <c r="N8" i="14"/>
  <c r="M8" i="14"/>
  <c r="F8" i="14"/>
  <c r="G8" i="14" s="1"/>
  <c r="AA7" i="14"/>
  <c r="AB7" i="14" s="1"/>
  <c r="T7" i="14"/>
  <c r="U7" i="14" s="1"/>
  <c r="M7" i="14"/>
  <c r="N7" i="14" s="1"/>
  <c r="F7" i="14"/>
  <c r="G7" i="14" s="1"/>
  <c r="AA6" i="14"/>
  <c r="T6" i="14"/>
  <c r="U6" i="14" s="1"/>
  <c r="N6" i="14"/>
  <c r="M6" i="14"/>
  <c r="M16" i="14" s="1"/>
  <c r="F6" i="14"/>
  <c r="G6" i="14" s="1"/>
  <c r="AA32" i="13"/>
  <c r="AB32" i="13" s="1"/>
  <c r="T32" i="13"/>
  <c r="U32" i="13" s="1"/>
  <c r="M32" i="13"/>
  <c r="N32" i="13" s="1"/>
  <c r="F32" i="13"/>
  <c r="G32" i="13" s="1"/>
  <c r="AA31" i="13"/>
  <c r="AB31" i="13" s="1"/>
  <c r="T31" i="13"/>
  <c r="U31" i="13" s="1"/>
  <c r="N31" i="13"/>
  <c r="M31" i="13"/>
  <c r="F31" i="13"/>
  <c r="G31" i="13" s="1"/>
  <c r="AA30" i="13"/>
  <c r="AB30" i="13" s="1"/>
  <c r="T30" i="13"/>
  <c r="U30" i="13" s="1"/>
  <c r="M30" i="13"/>
  <c r="N30" i="13" s="1"/>
  <c r="F30" i="13"/>
  <c r="G30" i="13" s="1"/>
  <c r="AA29" i="13"/>
  <c r="AB29" i="13" s="1"/>
  <c r="T29" i="13"/>
  <c r="U29" i="13" s="1"/>
  <c r="N29" i="13"/>
  <c r="M29" i="13"/>
  <c r="F29" i="13"/>
  <c r="G29" i="13" s="1"/>
  <c r="AA28" i="13"/>
  <c r="AB28" i="13" s="1"/>
  <c r="T28" i="13"/>
  <c r="U28" i="13" s="1"/>
  <c r="M28" i="13"/>
  <c r="N28" i="13" s="1"/>
  <c r="F28" i="13"/>
  <c r="G28" i="13" s="1"/>
  <c r="AA27" i="13"/>
  <c r="AB27" i="13" s="1"/>
  <c r="T27" i="13"/>
  <c r="U27" i="13" s="1"/>
  <c r="M27" i="13"/>
  <c r="N27" i="13" s="1"/>
  <c r="F27" i="13"/>
  <c r="G27" i="13" s="1"/>
  <c r="AA26" i="13"/>
  <c r="AB26" i="13" s="1"/>
  <c r="T26" i="13"/>
  <c r="U26" i="13" s="1"/>
  <c r="M26" i="13"/>
  <c r="N26" i="13" s="1"/>
  <c r="F26" i="13"/>
  <c r="G26" i="13" s="1"/>
  <c r="AA25" i="13"/>
  <c r="AB25" i="13" s="1"/>
  <c r="T25" i="13"/>
  <c r="U25" i="13" s="1"/>
  <c r="M25" i="13"/>
  <c r="N25" i="13" s="1"/>
  <c r="F25" i="13"/>
  <c r="G25" i="13" s="1"/>
  <c r="AA24" i="13"/>
  <c r="AB24" i="13" s="1"/>
  <c r="T24" i="13"/>
  <c r="U24" i="13" s="1"/>
  <c r="M24" i="13"/>
  <c r="N24" i="13" s="1"/>
  <c r="F24" i="13"/>
  <c r="G24" i="13" s="1"/>
  <c r="AA23" i="13"/>
  <c r="AB23" i="13" s="1"/>
  <c r="T23" i="13"/>
  <c r="U23" i="13" s="1"/>
  <c r="M23" i="13"/>
  <c r="N23" i="13" s="1"/>
  <c r="F23" i="13"/>
  <c r="G23" i="13" s="1"/>
  <c r="G33" i="13" s="1"/>
  <c r="G34" i="13" s="1"/>
  <c r="F35" i="13" s="1"/>
  <c r="AA15" i="13"/>
  <c r="AB15" i="13" s="1"/>
  <c r="T15" i="13"/>
  <c r="U15" i="13" s="1"/>
  <c r="M15" i="13"/>
  <c r="N15" i="13" s="1"/>
  <c r="F15" i="13"/>
  <c r="G15" i="13" s="1"/>
  <c r="AA14" i="13"/>
  <c r="AB14" i="13" s="1"/>
  <c r="T14" i="13"/>
  <c r="U14" i="13" s="1"/>
  <c r="M14" i="13"/>
  <c r="N14" i="13" s="1"/>
  <c r="F14" i="13"/>
  <c r="G14" i="13" s="1"/>
  <c r="AA13" i="13"/>
  <c r="AB13" i="13" s="1"/>
  <c r="T13" i="13"/>
  <c r="U13" i="13" s="1"/>
  <c r="M13" i="13"/>
  <c r="N13" i="13" s="1"/>
  <c r="F13" i="13"/>
  <c r="G13" i="13" s="1"/>
  <c r="AA12" i="13"/>
  <c r="AB12" i="13" s="1"/>
  <c r="T12" i="13"/>
  <c r="U12" i="13" s="1"/>
  <c r="M12" i="13"/>
  <c r="N12" i="13" s="1"/>
  <c r="F12" i="13"/>
  <c r="G12" i="13" s="1"/>
  <c r="AA11" i="13"/>
  <c r="AB11" i="13" s="1"/>
  <c r="T11" i="13"/>
  <c r="U11" i="13" s="1"/>
  <c r="M11" i="13"/>
  <c r="N11" i="13" s="1"/>
  <c r="F11" i="13"/>
  <c r="G11" i="13" s="1"/>
  <c r="AA10" i="13"/>
  <c r="AB10" i="13" s="1"/>
  <c r="T10" i="13"/>
  <c r="U10" i="13" s="1"/>
  <c r="M10" i="13"/>
  <c r="N10" i="13" s="1"/>
  <c r="F10" i="13"/>
  <c r="G10" i="13" s="1"/>
  <c r="AA9" i="13"/>
  <c r="AB9" i="13" s="1"/>
  <c r="T9" i="13"/>
  <c r="U9" i="13" s="1"/>
  <c r="M9" i="13"/>
  <c r="N9" i="13" s="1"/>
  <c r="F9" i="13"/>
  <c r="G9" i="13" s="1"/>
  <c r="AA8" i="13"/>
  <c r="AB8" i="13" s="1"/>
  <c r="T8" i="13"/>
  <c r="U8" i="13" s="1"/>
  <c r="M8" i="13"/>
  <c r="N8" i="13" s="1"/>
  <c r="F8" i="13"/>
  <c r="G8" i="13" s="1"/>
  <c r="AA7" i="13"/>
  <c r="AB7" i="13" s="1"/>
  <c r="T7" i="13"/>
  <c r="U7" i="13" s="1"/>
  <c r="M7" i="13"/>
  <c r="N7" i="13" s="1"/>
  <c r="F7" i="13"/>
  <c r="G7" i="13" s="1"/>
  <c r="AA6" i="13"/>
  <c r="AB6" i="13" s="1"/>
  <c r="T6" i="13"/>
  <c r="T16" i="13" s="1"/>
  <c r="M6" i="13"/>
  <c r="M16" i="13" s="1"/>
  <c r="F6" i="13"/>
  <c r="G6" i="13" s="1"/>
  <c r="AA32" i="12"/>
  <c r="AB32" i="12" s="1"/>
  <c r="T32" i="12"/>
  <c r="U32" i="12" s="1"/>
  <c r="M32" i="12"/>
  <c r="N32" i="12" s="1"/>
  <c r="F32" i="12"/>
  <c r="G32" i="12" s="1"/>
  <c r="AA31" i="12"/>
  <c r="AB31" i="12" s="1"/>
  <c r="T31" i="12"/>
  <c r="U31" i="12" s="1"/>
  <c r="M31" i="12"/>
  <c r="N31" i="12" s="1"/>
  <c r="F31" i="12"/>
  <c r="G31" i="12" s="1"/>
  <c r="AA30" i="12"/>
  <c r="AB30" i="12" s="1"/>
  <c r="T30" i="12"/>
  <c r="U30" i="12" s="1"/>
  <c r="M30" i="12"/>
  <c r="N30" i="12" s="1"/>
  <c r="F30" i="12"/>
  <c r="G30" i="12" s="1"/>
  <c r="AA29" i="12"/>
  <c r="AB29" i="12" s="1"/>
  <c r="T29" i="12"/>
  <c r="U29" i="12" s="1"/>
  <c r="M29" i="12"/>
  <c r="N29" i="12" s="1"/>
  <c r="F29" i="12"/>
  <c r="G29" i="12" s="1"/>
  <c r="AA28" i="12"/>
  <c r="AB28" i="12" s="1"/>
  <c r="T28" i="12"/>
  <c r="U28" i="12" s="1"/>
  <c r="M28" i="12"/>
  <c r="N28" i="12" s="1"/>
  <c r="F28" i="12"/>
  <c r="G28" i="12" s="1"/>
  <c r="AA27" i="12"/>
  <c r="AB27" i="12" s="1"/>
  <c r="T27" i="12"/>
  <c r="U27" i="12" s="1"/>
  <c r="M27" i="12"/>
  <c r="N27" i="12" s="1"/>
  <c r="F27" i="12"/>
  <c r="G27" i="12" s="1"/>
  <c r="AA26" i="12"/>
  <c r="AB26" i="12" s="1"/>
  <c r="T26" i="12"/>
  <c r="U26" i="12" s="1"/>
  <c r="M26" i="12"/>
  <c r="N26" i="12" s="1"/>
  <c r="F26" i="12"/>
  <c r="G26" i="12" s="1"/>
  <c r="AA25" i="12"/>
  <c r="AB25" i="12" s="1"/>
  <c r="T25" i="12"/>
  <c r="U25" i="12" s="1"/>
  <c r="M25" i="12"/>
  <c r="N25" i="12" s="1"/>
  <c r="F25" i="12"/>
  <c r="G25" i="12" s="1"/>
  <c r="AA24" i="12"/>
  <c r="AB24" i="12" s="1"/>
  <c r="T24" i="12"/>
  <c r="U24" i="12" s="1"/>
  <c r="M24" i="12"/>
  <c r="N24" i="12" s="1"/>
  <c r="F24" i="12"/>
  <c r="G24" i="12" s="1"/>
  <c r="AA23" i="12"/>
  <c r="AB23" i="12" s="1"/>
  <c r="T23" i="12"/>
  <c r="U23" i="12" s="1"/>
  <c r="M23" i="12"/>
  <c r="N23" i="12" s="1"/>
  <c r="F23" i="12"/>
  <c r="G23" i="12" s="1"/>
  <c r="AA15" i="12"/>
  <c r="AB15" i="12" s="1"/>
  <c r="T15" i="12"/>
  <c r="U15" i="12" s="1"/>
  <c r="M15" i="12"/>
  <c r="N15" i="12" s="1"/>
  <c r="F15" i="12"/>
  <c r="G15" i="12" s="1"/>
  <c r="AA14" i="12"/>
  <c r="AB14" i="12" s="1"/>
  <c r="T14" i="12"/>
  <c r="U14" i="12" s="1"/>
  <c r="M14" i="12"/>
  <c r="N14" i="12" s="1"/>
  <c r="F14" i="12"/>
  <c r="G14" i="12" s="1"/>
  <c r="AA13" i="12"/>
  <c r="AB13" i="12" s="1"/>
  <c r="T13" i="12"/>
  <c r="U13" i="12" s="1"/>
  <c r="M13" i="12"/>
  <c r="N13" i="12" s="1"/>
  <c r="F13" i="12"/>
  <c r="G13" i="12" s="1"/>
  <c r="AA12" i="12"/>
  <c r="AB12" i="12" s="1"/>
  <c r="T12" i="12"/>
  <c r="U12" i="12" s="1"/>
  <c r="M12" i="12"/>
  <c r="N12" i="12" s="1"/>
  <c r="F12" i="12"/>
  <c r="G12" i="12" s="1"/>
  <c r="AA11" i="12"/>
  <c r="AB11" i="12" s="1"/>
  <c r="T11" i="12"/>
  <c r="U11" i="12" s="1"/>
  <c r="M11" i="12"/>
  <c r="N11" i="12" s="1"/>
  <c r="F11" i="12"/>
  <c r="G11" i="12" s="1"/>
  <c r="AA10" i="12"/>
  <c r="AB10" i="12" s="1"/>
  <c r="T10" i="12"/>
  <c r="T16" i="12" s="1"/>
  <c r="M10" i="12"/>
  <c r="N10" i="12" s="1"/>
  <c r="F10" i="12"/>
  <c r="G10" i="12" s="1"/>
  <c r="AA9" i="12"/>
  <c r="AB9" i="12" s="1"/>
  <c r="T9" i="12"/>
  <c r="U9" i="12" s="1"/>
  <c r="M9" i="12"/>
  <c r="N9" i="12" s="1"/>
  <c r="F9" i="12"/>
  <c r="G9" i="12" s="1"/>
  <c r="AA8" i="12"/>
  <c r="AB8" i="12" s="1"/>
  <c r="T8" i="12"/>
  <c r="U8" i="12" s="1"/>
  <c r="M8" i="12"/>
  <c r="N8" i="12" s="1"/>
  <c r="F8" i="12"/>
  <c r="G8" i="12" s="1"/>
  <c r="AA7" i="12"/>
  <c r="AB7" i="12" s="1"/>
  <c r="T7" i="12"/>
  <c r="U7" i="12" s="1"/>
  <c r="M7" i="12"/>
  <c r="N7" i="12" s="1"/>
  <c r="F7" i="12"/>
  <c r="G7" i="12" s="1"/>
  <c r="AA6" i="12"/>
  <c r="AB6" i="12" s="1"/>
  <c r="T6" i="12"/>
  <c r="U6" i="12" s="1"/>
  <c r="M6" i="12"/>
  <c r="M16" i="12" s="1"/>
  <c r="F6" i="12"/>
  <c r="G6" i="12" s="1"/>
  <c r="G16" i="12" s="1"/>
  <c r="AA32" i="11"/>
  <c r="AB32" i="11" s="1"/>
  <c r="T32" i="11"/>
  <c r="U32" i="11" s="1"/>
  <c r="M32" i="11"/>
  <c r="N32" i="11" s="1"/>
  <c r="F32" i="11"/>
  <c r="G32" i="11" s="1"/>
  <c r="AA31" i="11"/>
  <c r="AB31" i="11" s="1"/>
  <c r="T31" i="11"/>
  <c r="U31" i="11" s="1"/>
  <c r="M31" i="11"/>
  <c r="N31" i="11" s="1"/>
  <c r="F31" i="11"/>
  <c r="G31" i="11" s="1"/>
  <c r="AA30" i="11"/>
  <c r="AB30" i="11" s="1"/>
  <c r="T30" i="11"/>
  <c r="U30" i="11" s="1"/>
  <c r="M30" i="11"/>
  <c r="N30" i="11" s="1"/>
  <c r="F30" i="11"/>
  <c r="G30" i="11" s="1"/>
  <c r="AA29" i="11"/>
  <c r="AB29" i="11" s="1"/>
  <c r="T29" i="11"/>
  <c r="U29" i="11" s="1"/>
  <c r="M29" i="11"/>
  <c r="N29" i="11" s="1"/>
  <c r="F29" i="11"/>
  <c r="G29" i="11" s="1"/>
  <c r="AA28" i="11"/>
  <c r="AB28" i="11" s="1"/>
  <c r="T28" i="11"/>
  <c r="U28" i="11" s="1"/>
  <c r="M28" i="11"/>
  <c r="N28" i="11" s="1"/>
  <c r="F28" i="11"/>
  <c r="G28" i="11" s="1"/>
  <c r="AA27" i="11"/>
  <c r="AB27" i="11" s="1"/>
  <c r="T27" i="11"/>
  <c r="U27" i="11" s="1"/>
  <c r="M27" i="11"/>
  <c r="N27" i="11" s="1"/>
  <c r="F27" i="11"/>
  <c r="G27" i="11" s="1"/>
  <c r="AA26" i="11"/>
  <c r="AB26" i="11" s="1"/>
  <c r="T26" i="11"/>
  <c r="U26" i="11" s="1"/>
  <c r="M26" i="11"/>
  <c r="N26" i="11" s="1"/>
  <c r="F26" i="11"/>
  <c r="G26" i="11" s="1"/>
  <c r="AA25" i="11"/>
  <c r="AB25" i="11" s="1"/>
  <c r="T25" i="11"/>
  <c r="U25" i="11" s="1"/>
  <c r="M25" i="11"/>
  <c r="N25" i="11" s="1"/>
  <c r="F25" i="11"/>
  <c r="G25" i="11" s="1"/>
  <c r="AA24" i="11"/>
  <c r="AB24" i="11" s="1"/>
  <c r="T24" i="11"/>
  <c r="U24" i="11" s="1"/>
  <c r="M24" i="11"/>
  <c r="N24" i="11" s="1"/>
  <c r="F24" i="11"/>
  <c r="G24" i="11" s="1"/>
  <c r="AA23" i="11"/>
  <c r="AB23" i="11" s="1"/>
  <c r="T23" i="11"/>
  <c r="U23" i="11" s="1"/>
  <c r="M23" i="11"/>
  <c r="N23" i="11" s="1"/>
  <c r="F23" i="11"/>
  <c r="G23" i="11" s="1"/>
  <c r="AA15" i="11"/>
  <c r="AB15" i="11" s="1"/>
  <c r="T15" i="11"/>
  <c r="U15" i="11" s="1"/>
  <c r="M15" i="11"/>
  <c r="N15" i="11" s="1"/>
  <c r="F15" i="11"/>
  <c r="G15" i="11" s="1"/>
  <c r="AA14" i="11"/>
  <c r="AB14" i="11" s="1"/>
  <c r="T14" i="11"/>
  <c r="U14" i="11" s="1"/>
  <c r="M14" i="11"/>
  <c r="N14" i="11" s="1"/>
  <c r="F14" i="11"/>
  <c r="G14" i="11" s="1"/>
  <c r="AA13" i="11"/>
  <c r="AB13" i="11" s="1"/>
  <c r="T13" i="11"/>
  <c r="U13" i="11" s="1"/>
  <c r="M13" i="11"/>
  <c r="N13" i="11" s="1"/>
  <c r="F13" i="11"/>
  <c r="G13" i="11" s="1"/>
  <c r="AA12" i="11"/>
  <c r="AB12" i="11" s="1"/>
  <c r="T12" i="11"/>
  <c r="U12" i="11" s="1"/>
  <c r="M12" i="11"/>
  <c r="N12" i="11" s="1"/>
  <c r="F12" i="11"/>
  <c r="G12" i="11" s="1"/>
  <c r="AA11" i="11"/>
  <c r="AB11" i="11" s="1"/>
  <c r="T11" i="11"/>
  <c r="U11" i="11" s="1"/>
  <c r="M11" i="11"/>
  <c r="N11" i="11" s="1"/>
  <c r="F11" i="11"/>
  <c r="G11" i="11" s="1"/>
  <c r="AA10" i="11"/>
  <c r="AB10" i="11" s="1"/>
  <c r="T10" i="11"/>
  <c r="U10" i="11" s="1"/>
  <c r="M10" i="11"/>
  <c r="N10" i="11" s="1"/>
  <c r="F10" i="11"/>
  <c r="G10" i="11" s="1"/>
  <c r="AA9" i="11"/>
  <c r="AB9" i="11" s="1"/>
  <c r="T9" i="11"/>
  <c r="U9" i="11" s="1"/>
  <c r="M9" i="11"/>
  <c r="N9" i="11" s="1"/>
  <c r="F9" i="11"/>
  <c r="G9" i="11" s="1"/>
  <c r="AA8" i="11"/>
  <c r="AB8" i="11" s="1"/>
  <c r="T8" i="11"/>
  <c r="U8" i="11" s="1"/>
  <c r="M8" i="11"/>
  <c r="N8" i="11" s="1"/>
  <c r="F8" i="11"/>
  <c r="G8" i="11" s="1"/>
  <c r="AA7" i="11"/>
  <c r="AB7" i="11" s="1"/>
  <c r="T7" i="11"/>
  <c r="U7" i="11" s="1"/>
  <c r="M7" i="11"/>
  <c r="N7" i="11" s="1"/>
  <c r="F7" i="11"/>
  <c r="G7" i="11" s="1"/>
  <c r="AA6" i="11"/>
  <c r="AB6" i="11" s="1"/>
  <c r="AB16" i="11" s="1"/>
  <c r="AB17" i="11" s="1"/>
  <c r="AA18" i="11" s="1"/>
  <c r="T6" i="11"/>
  <c r="T16" i="11" s="1"/>
  <c r="M6" i="11"/>
  <c r="N6" i="11" s="1"/>
  <c r="N16" i="11" s="1"/>
  <c r="N17" i="11" s="1"/>
  <c r="M18" i="11" s="1"/>
  <c r="F6" i="11"/>
  <c r="G6" i="11" s="1"/>
  <c r="G16" i="11" s="1"/>
  <c r="AA32" i="10"/>
  <c r="AB32" i="10" s="1"/>
  <c r="U32" i="10"/>
  <c r="T32" i="10"/>
  <c r="M32" i="10"/>
  <c r="N32" i="10" s="1"/>
  <c r="F32" i="10"/>
  <c r="G32" i="10" s="1"/>
  <c r="AA31" i="10"/>
  <c r="AB31" i="10" s="1"/>
  <c r="T31" i="10"/>
  <c r="U31" i="10" s="1"/>
  <c r="M31" i="10"/>
  <c r="N31" i="10" s="1"/>
  <c r="F31" i="10"/>
  <c r="G31" i="10" s="1"/>
  <c r="AA30" i="10"/>
  <c r="AB30" i="10" s="1"/>
  <c r="U30" i="10"/>
  <c r="T30" i="10"/>
  <c r="M30" i="10"/>
  <c r="N30" i="10" s="1"/>
  <c r="F30" i="10"/>
  <c r="G30" i="10" s="1"/>
  <c r="AA29" i="10"/>
  <c r="AB29" i="10" s="1"/>
  <c r="T29" i="10"/>
  <c r="U29" i="10" s="1"/>
  <c r="M29" i="10"/>
  <c r="N29" i="10" s="1"/>
  <c r="F29" i="10"/>
  <c r="G29" i="10" s="1"/>
  <c r="AA28" i="10"/>
  <c r="AB28" i="10" s="1"/>
  <c r="U28" i="10"/>
  <c r="T28" i="10"/>
  <c r="M28" i="10"/>
  <c r="N28" i="10" s="1"/>
  <c r="F28" i="10"/>
  <c r="G28" i="10" s="1"/>
  <c r="AA27" i="10"/>
  <c r="AB27" i="10" s="1"/>
  <c r="T27" i="10"/>
  <c r="U27" i="10" s="1"/>
  <c r="M27" i="10"/>
  <c r="N27" i="10" s="1"/>
  <c r="F27" i="10"/>
  <c r="G27" i="10" s="1"/>
  <c r="AB26" i="10"/>
  <c r="AA26" i="10"/>
  <c r="U26" i="10"/>
  <c r="T26" i="10"/>
  <c r="M26" i="10"/>
  <c r="N26" i="10" s="1"/>
  <c r="F26" i="10"/>
  <c r="G26" i="10" s="1"/>
  <c r="AA25" i="10"/>
  <c r="AB25" i="10" s="1"/>
  <c r="T25" i="10"/>
  <c r="U25" i="10" s="1"/>
  <c r="M25" i="10"/>
  <c r="N25" i="10" s="1"/>
  <c r="F25" i="10"/>
  <c r="G25" i="10" s="1"/>
  <c r="AB24" i="10"/>
  <c r="AA24" i="10"/>
  <c r="U24" i="10"/>
  <c r="T24" i="10"/>
  <c r="M24" i="10"/>
  <c r="N24" i="10" s="1"/>
  <c r="F24" i="10"/>
  <c r="G24" i="10" s="1"/>
  <c r="AA23" i="10"/>
  <c r="AB23" i="10" s="1"/>
  <c r="T23" i="10"/>
  <c r="U23" i="10" s="1"/>
  <c r="M23" i="10"/>
  <c r="M33" i="10" s="1"/>
  <c r="F23" i="10"/>
  <c r="G23" i="10" s="1"/>
  <c r="G33" i="10" s="1"/>
  <c r="G34" i="10" s="1"/>
  <c r="F35" i="10" s="1"/>
  <c r="AB15" i="10"/>
  <c r="AA15" i="10"/>
  <c r="U15" i="10"/>
  <c r="T15" i="10"/>
  <c r="M15" i="10"/>
  <c r="N15" i="10" s="1"/>
  <c r="F15" i="10"/>
  <c r="G15" i="10" s="1"/>
  <c r="AA14" i="10"/>
  <c r="AB14" i="10" s="1"/>
  <c r="T14" i="10"/>
  <c r="U14" i="10" s="1"/>
  <c r="M14" i="10"/>
  <c r="N14" i="10" s="1"/>
  <c r="F14" i="10"/>
  <c r="G14" i="10" s="1"/>
  <c r="AB13" i="10"/>
  <c r="AA13" i="10"/>
  <c r="U13" i="10"/>
  <c r="T13" i="10"/>
  <c r="M13" i="10"/>
  <c r="N13" i="10" s="1"/>
  <c r="F13" i="10"/>
  <c r="G13" i="10" s="1"/>
  <c r="AA12" i="10"/>
  <c r="AB12" i="10" s="1"/>
  <c r="T12" i="10"/>
  <c r="U12" i="10" s="1"/>
  <c r="M12" i="10"/>
  <c r="N12" i="10" s="1"/>
  <c r="F12" i="10"/>
  <c r="G12" i="10" s="1"/>
  <c r="AB11" i="10"/>
  <c r="AA11" i="10"/>
  <c r="U11" i="10"/>
  <c r="T11" i="10"/>
  <c r="M11" i="10"/>
  <c r="N11" i="10" s="1"/>
  <c r="F11" i="10"/>
  <c r="G11" i="10" s="1"/>
  <c r="AA10" i="10"/>
  <c r="AB10" i="10" s="1"/>
  <c r="T10" i="10"/>
  <c r="U10" i="10" s="1"/>
  <c r="M10" i="10"/>
  <c r="N10" i="10" s="1"/>
  <c r="F10" i="10"/>
  <c r="G10" i="10" s="1"/>
  <c r="AA9" i="10"/>
  <c r="AB9" i="10" s="1"/>
  <c r="U9" i="10"/>
  <c r="T9" i="10"/>
  <c r="M9" i="10"/>
  <c r="N9" i="10" s="1"/>
  <c r="F9" i="10"/>
  <c r="G9" i="10" s="1"/>
  <c r="AA8" i="10"/>
  <c r="AB8" i="10" s="1"/>
  <c r="T8" i="10"/>
  <c r="U8" i="10" s="1"/>
  <c r="M8" i="10"/>
  <c r="N8" i="10" s="1"/>
  <c r="F8" i="10"/>
  <c r="G8" i="10" s="1"/>
  <c r="AA7" i="10"/>
  <c r="AB7" i="10" s="1"/>
  <c r="T7" i="10"/>
  <c r="U7" i="10" s="1"/>
  <c r="M7" i="10"/>
  <c r="N7" i="10" s="1"/>
  <c r="F7" i="10"/>
  <c r="G7" i="10" s="1"/>
  <c r="AA6" i="10"/>
  <c r="AB6" i="10" s="1"/>
  <c r="T6" i="10"/>
  <c r="M6" i="10"/>
  <c r="M16" i="10" s="1"/>
  <c r="F6" i="10"/>
  <c r="G6" i="10" s="1"/>
  <c r="AB16" i="40" l="1"/>
  <c r="AB17" i="40" s="1"/>
  <c r="AA18" i="40" s="1"/>
  <c r="G16" i="40"/>
  <c r="U16" i="40"/>
  <c r="U17" i="40" s="1"/>
  <c r="T18" i="40" s="1"/>
  <c r="U16" i="35"/>
  <c r="U17" i="35" s="1"/>
  <c r="T18" i="35" s="1"/>
  <c r="G16" i="34"/>
  <c r="M33" i="26"/>
  <c r="N23" i="26"/>
  <c r="N6" i="26"/>
  <c r="N23" i="21"/>
  <c r="M33" i="17"/>
  <c r="M16" i="20"/>
  <c r="U16" i="20"/>
  <c r="U17" i="20" s="1"/>
  <c r="T18" i="20" s="1"/>
  <c r="N6" i="17"/>
  <c r="N23" i="17"/>
  <c r="N23" i="16"/>
  <c r="N33" i="16" s="1"/>
  <c r="N34" i="16" s="1"/>
  <c r="T16" i="14"/>
  <c r="AA16" i="14"/>
  <c r="T16" i="10"/>
  <c r="G33" i="40"/>
  <c r="G34" i="40" s="1"/>
  <c r="F35" i="40" s="1"/>
  <c r="N33" i="40"/>
  <c r="N34" i="40" s="1"/>
  <c r="M35" i="40" s="1"/>
  <c r="U33" i="40"/>
  <c r="AB33" i="40"/>
  <c r="AB34" i="40" s="1"/>
  <c r="AA35" i="40" s="1"/>
  <c r="M16" i="40"/>
  <c r="M33" i="40"/>
  <c r="T16" i="40"/>
  <c r="T33" i="40"/>
  <c r="AA16" i="40"/>
  <c r="AA33" i="40"/>
  <c r="F16" i="40"/>
  <c r="F33" i="40"/>
  <c r="G33" i="39"/>
  <c r="G34" i="39" s="1"/>
  <c r="F35" i="39" s="1"/>
  <c r="N33" i="39"/>
  <c r="N34" i="39" s="1"/>
  <c r="M35" i="39" s="1"/>
  <c r="G16" i="39"/>
  <c r="AB33" i="39"/>
  <c r="AB34" i="39" s="1"/>
  <c r="AA35" i="39" s="1"/>
  <c r="U16" i="39"/>
  <c r="U17" i="39" s="1"/>
  <c r="T18" i="39" s="1"/>
  <c r="AB16" i="39"/>
  <c r="AB17" i="39" s="1"/>
  <c r="AA18" i="39" s="1"/>
  <c r="N16" i="39"/>
  <c r="N17" i="39" s="1"/>
  <c r="M18" i="39" s="1"/>
  <c r="T16" i="39"/>
  <c r="AA16" i="39"/>
  <c r="AA33" i="39"/>
  <c r="U23" i="39"/>
  <c r="U33" i="39" s="1"/>
  <c r="U34" i="39" s="1"/>
  <c r="T35" i="39" s="1"/>
  <c r="F16" i="39"/>
  <c r="F33" i="39"/>
  <c r="G33" i="38"/>
  <c r="G34" i="38" s="1"/>
  <c r="F35" i="38" s="1"/>
  <c r="N33" i="38"/>
  <c r="N34" i="38" s="1"/>
  <c r="M35" i="38" s="1"/>
  <c r="G16" i="38"/>
  <c r="U33" i="38"/>
  <c r="AB33" i="38"/>
  <c r="AB34" i="38" s="1"/>
  <c r="AA35" i="38" s="1"/>
  <c r="N16" i="38"/>
  <c r="N17" i="38" s="1"/>
  <c r="M18" i="38" s="1"/>
  <c r="U16" i="38"/>
  <c r="U17" i="38" s="1"/>
  <c r="T18" i="38" s="1"/>
  <c r="AB16" i="38"/>
  <c r="AB17" i="38" s="1"/>
  <c r="AA18" i="38" s="1"/>
  <c r="T16" i="38"/>
  <c r="T33" i="38"/>
  <c r="AA16" i="38"/>
  <c r="AA33" i="38"/>
  <c r="F16" i="38"/>
  <c r="F33" i="38"/>
  <c r="G33" i="37"/>
  <c r="G34" i="37" s="1"/>
  <c r="F35" i="37" s="1"/>
  <c r="N33" i="37"/>
  <c r="N34" i="37" s="1"/>
  <c r="M35" i="37" s="1"/>
  <c r="G16" i="37"/>
  <c r="U33" i="37"/>
  <c r="AB33" i="37"/>
  <c r="AB34" i="37" s="1"/>
  <c r="AA35" i="37" s="1"/>
  <c r="N16" i="37"/>
  <c r="N17" i="37" s="1"/>
  <c r="M18" i="37" s="1"/>
  <c r="U16" i="37"/>
  <c r="U17" i="37" s="1"/>
  <c r="T18" i="37" s="1"/>
  <c r="AB16" i="37"/>
  <c r="AB17" i="37" s="1"/>
  <c r="AA18" i="37" s="1"/>
  <c r="T16" i="37"/>
  <c r="T33" i="37"/>
  <c r="AA16" i="37"/>
  <c r="AA33" i="37"/>
  <c r="F16" i="37"/>
  <c r="F33" i="37"/>
  <c r="AB16" i="36"/>
  <c r="AB17" i="36" s="1"/>
  <c r="AA18" i="36" s="1"/>
  <c r="AB33" i="36"/>
  <c r="AB34" i="36" s="1"/>
  <c r="AA35" i="36" s="1"/>
  <c r="G16" i="36"/>
  <c r="G33" i="36"/>
  <c r="G34" i="36" s="1"/>
  <c r="F35" i="36" s="1"/>
  <c r="U8" i="36"/>
  <c r="U16" i="36" s="1"/>
  <c r="U17" i="36" s="1"/>
  <c r="T18" i="36" s="1"/>
  <c r="U23" i="36"/>
  <c r="U33" i="36" s="1"/>
  <c r="U34" i="36" s="1"/>
  <c r="T35" i="36" s="1"/>
  <c r="AA16" i="36"/>
  <c r="AA33" i="36"/>
  <c r="F16" i="36"/>
  <c r="F33" i="36"/>
  <c r="G16" i="35"/>
  <c r="G17" i="35" s="1"/>
  <c r="F18" i="35" s="1"/>
  <c r="G33" i="35"/>
  <c r="G34" i="35" s="1"/>
  <c r="F35" i="35" s="1"/>
  <c r="N33" i="35"/>
  <c r="N34" i="35" s="1"/>
  <c r="M35" i="35" s="1"/>
  <c r="AB33" i="35"/>
  <c r="AB34" i="35" s="1"/>
  <c r="AA35" i="35" s="1"/>
  <c r="M16" i="35"/>
  <c r="M33" i="35"/>
  <c r="T16" i="35"/>
  <c r="AA16" i="35"/>
  <c r="AA33" i="35"/>
  <c r="U23" i="35"/>
  <c r="U33" i="35" s="1"/>
  <c r="U34" i="35" s="1"/>
  <c r="T35" i="35" s="1"/>
  <c r="F16" i="35"/>
  <c r="F33" i="35"/>
  <c r="G33" i="34"/>
  <c r="G34" i="34" s="1"/>
  <c r="F35" i="34" s="1"/>
  <c r="N33" i="34"/>
  <c r="N34" i="34" s="1"/>
  <c r="M35" i="34" s="1"/>
  <c r="U33" i="34"/>
  <c r="U34" i="34" s="1"/>
  <c r="T35" i="34" s="1"/>
  <c r="AB33" i="34"/>
  <c r="AB34" i="34" s="1"/>
  <c r="AA35" i="34" s="1"/>
  <c r="N16" i="34"/>
  <c r="N17" i="34" s="1"/>
  <c r="M18" i="34" s="1"/>
  <c r="M16" i="34"/>
  <c r="M33" i="34"/>
  <c r="T16" i="34"/>
  <c r="T33" i="34"/>
  <c r="AA16" i="34"/>
  <c r="AA33" i="34"/>
  <c r="F16" i="34"/>
  <c r="Y37" i="34" s="1"/>
  <c r="F33" i="34"/>
  <c r="G33" i="33"/>
  <c r="G34" i="33" s="1"/>
  <c r="F35" i="33" s="1"/>
  <c r="N33" i="33"/>
  <c r="N34" i="33" s="1"/>
  <c r="M35" i="33" s="1"/>
  <c r="G16" i="33"/>
  <c r="U33" i="33"/>
  <c r="AB33" i="33"/>
  <c r="AB34" i="33" s="1"/>
  <c r="AA35" i="33" s="1"/>
  <c r="N16" i="33"/>
  <c r="N17" i="33" s="1"/>
  <c r="M18" i="33" s="1"/>
  <c r="AB16" i="33"/>
  <c r="AB17" i="33" s="1"/>
  <c r="AA18" i="33" s="1"/>
  <c r="T33" i="33"/>
  <c r="U6" i="33"/>
  <c r="U16" i="33" s="1"/>
  <c r="U17" i="33" s="1"/>
  <c r="T18" i="33" s="1"/>
  <c r="AA16" i="33"/>
  <c r="AA33" i="33"/>
  <c r="F16" i="33"/>
  <c r="F33" i="33"/>
  <c r="G33" i="32"/>
  <c r="G34" i="32" s="1"/>
  <c r="F35" i="32" s="1"/>
  <c r="N33" i="32"/>
  <c r="N34" i="32" s="1"/>
  <c r="M35" i="32" s="1"/>
  <c r="G16" i="32"/>
  <c r="U33" i="32"/>
  <c r="AB33" i="32"/>
  <c r="AB34" i="32" s="1"/>
  <c r="AA35" i="32" s="1"/>
  <c r="U16" i="32"/>
  <c r="U17" i="32" s="1"/>
  <c r="T18" i="32" s="1"/>
  <c r="AB16" i="32"/>
  <c r="AB17" i="32" s="1"/>
  <c r="AA18" i="32" s="1"/>
  <c r="N16" i="32"/>
  <c r="N17" i="32" s="1"/>
  <c r="M18" i="32" s="1"/>
  <c r="T16" i="32"/>
  <c r="T33" i="32"/>
  <c r="AA16" i="32"/>
  <c r="AA33" i="32"/>
  <c r="F16" i="32"/>
  <c r="F33" i="32"/>
  <c r="G33" i="31"/>
  <c r="G34" i="31" s="1"/>
  <c r="G16" i="31"/>
  <c r="AB33" i="31"/>
  <c r="AB34" i="31" s="1"/>
  <c r="AA35" i="31" s="1"/>
  <c r="N16" i="31"/>
  <c r="N17" i="31" s="1"/>
  <c r="M18" i="31" s="1"/>
  <c r="U16" i="31"/>
  <c r="U17" i="31" s="1"/>
  <c r="T18" i="31" s="1"/>
  <c r="AB16" i="31"/>
  <c r="AB17" i="31" s="1"/>
  <c r="AA18" i="31" s="1"/>
  <c r="M16" i="31"/>
  <c r="M33" i="31"/>
  <c r="T16" i="31"/>
  <c r="T33" i="31"/>
  <c r="AA16" i="31"/>
  <c r="AA33" i="31"/>
  <c r="F16" i="31"/>
  <c r="F33" i="31"/>
  <c r="G33" i="30"/>
  <c r="G34" i="30" s="1"/>
  <c r="F35" i="30" s="1"/>
  <c r="N33" i="30"/>
  <c r="N34" i="30" s="1"/>
  <c r="M35" i="30" s="1"/>
  <c r="G16" i="30"/>
  <c r="U33" i="30"/>
  <c r="AB33" i="30"/>
  <c r="AB34" i="30" s="1"/>
  <c r="AA35" i="30" s="1"/>
  <c r="U16" i="30"/>
  <c r="U17" i="30" s="1"/>
  <c r="T18" i="30" s="1"/>
  <c r="AB16" i="30"/>
  <c r="AB17" i="30" s="1"/>
  <c r="AA18" i="30" s="1"/>
  <c r="N16" i="30"/>
  <c r="N17" i="30" s="1"/>
  <c r="M18" i="30" s="1"/>
  <c r="T16" i="30"/>
  <c r="T33" i="30"/>
  <c r="AA16" i="30"/>
  <c r="AA33" i="30"/>
  <c r="F16" i="30"/>
  <c r="F33" i="30"/>
  <c r="G33" i="29"/>
  <c r="G34" i="29" s="1"/>
  <c r="N33" i="29"/>
  <c r="N34" i="29" s="1"/>
  <c r="M35" i="29" s="1"/>
  <c r="G16" i="29"/>
  <c r="U33" i="29"/>
  <c r="AB33" i="29"/>
  <c r="AB34" i="29" s="1"/>
  <c r="AA35" i="29" s="1"/>
  <c r="U16" i="29"/>
  <c r="U17" i="29" s="1"/>
  <c r="T18" i="29" s="1"/>
  <c r="AB16" i="29"/>
  <c r="AB17" i="29" s="1"/>
  <c r="AA18" i="29" s="1"/>
  <c r="N16" i="29"/>
  <c r="N17" i="29" s="1"/>
  <c r="M18" i="29" s="1"/>
  <c r="T16" i="29"/>
  <c r="T33" i="29"/>
  <c r="AA16" i="29"/>
  <c r="AA33" i="29"/>
  <c r="F16" i="29"/>
  <c r="F33" i="29"/>
  <c r="G33" i="28"/>
  <c r="G34" i="28" s="1"/>
  <c r="F35" i="28" s="1"/>
  <c r="N33" i="28"/>
  <c r="N34" i="28" s="1"/>
  <c r="M35" i="28" s="1"/>
  <c r="G16" i="28"/>
  <c r="U33" i="28"/>
  <c r="AB33" i="28"/>
  <c r="AB34" i="28" s="1"/>
  <c r="AA35" i="28" s="1"/>
  <c r="N16" i="28"/>
  <c r="N17" i="28" s="1"/>
  <c r="M18" i="28" s="1"/>
  <c r="U16" i="28"/>
  <c r="U17" i="28" s="1"/>
  <c r="T18" i="28" s="1"/>
  <c r="AB16" i="28"/>
  <c r="AB17" i="28" s="1"/>
  <c r="AA18" i="28" s="1"/>
  <c r="T16" i="28"/>
  <c r="T33" i="28"/>
  <c r="AA16" i="28"/>
  <c r="AA33" i="28"/>
  <c r="F16" i="28"/>
  <c r="F33" i="28"/>
  <c r="G33" i="27"/>
  <c r="G34" i="27" s="1"/>
  <c r="F35" i="27" s="1"/>
  <c r="N33" i="27"/>
  <c r="N34" i="27" s="1"/>
  <c r="M35" i="27" s="1"/>
  <c r="U33" i="27"/>
  <c r="G16" i="27"/>
  <c r="AB33" i="27"/>
  <c r="AB34" i="27" s="1"/>
  <c r="AA35" i="27" s="1"/>
  <c r="U16" i="27"/>
  <c r="U17" i="27" s="1"/>
  <c r="T18" i="27" s="1"/>
  <c r="AB16" i="27"/>
  <c r="AB17" i="27" s="1"/>
  <c r="AA18" i="27" s="1"/>
  <c r="M33" i="27"/>
  <c r="N12" i="27"/>
  <c r="N16" i="27" s="1"/>
  <c r="N17" i="27" s="1"/>
  <c r="M18" i="27" s="1"/>
  <c r="T16" i="27"/>
  <c r="T33" i="27"/>
  <c r="AA16" i="27"/>
  <c r="AA33" i="27"/>
  <c r="F16" i="27"/>
  <c r="F33" i="27"/>
  <c r="G33" i="26"/>
  <c r="G34" i="26" s="1"/>
  <c r="F35" i="26" s="1"/>
  <c r="N33" i="26"/>
  <c r="N34" i="26" s="1"/>
  <c r="K36" i="26" s="1"/>
  <c r="G16" i="26"/>
  <c r="U33" i="26"/>
  <c r="AB33" i="26"/>
  <c r="AB34" i="26" s="1"/>
  <c r="AA35" i="26" s="1"/>
  <c r="N16" i="26"/>
  <c r="N17" i="26" s="1"/>
  <c r="M18" i="26" s="1"/>
  <c r="U16" i="26"/>
  <c r="U17" i="26" s="1"/>
  <c r="R19" i="26" s="1"/>
  <c r="AB16" i="26"/>
  <c r="AB17" i="26" s="1"/>
  <c r="AA18" i="26" s="1"/>
  <c r="T16" i="26"/>
  <c r="T33" i="26"/>
  <c r="AA16" i="26"/>
  <c r="AA33" i="26"/>
  <c r="F16" i="26"/>
  <c r="F33" i="26"/>
  <c r="G33" i="25"/>
  <c r="G34" i="25" s="1"/>
  <c r="F35" i="25" s="1"/>
  <c r="N33" i="25"/>
  <c r="N34" i="25" s="1"/>
  <c r="M35" i="25" s="1"/>
  <c r="G16" i="25"/>
  <c r="U33" i="25"/>
  <c r="AB33" i="25"/>
  <c r="AB34" i="25" s="1"/>
  <c r="AA35" i="25" s="1"/>
  <c r="U16" i="25"/>
  <c r="U17" i="25" s="1"/>
  <c r="T18" i="25" s="1"/>
  <c r="AB16" i="25"/>
  <c r="AB17" i="25" s="1"/>
  <c r="AA18" i="25" s="1"/>
  <c r="N16" i="25"/>
  <c r="N17" i="25" s="1"/>
  <c r="M18" i="25" s="1"/>
  <c r="T16" i="25"/>
  <c r="T33" i="25"/>
  <c r="AA16" i="25"/>
  <c r="AA33" i="25"/>
  <c r="F16" i="25"/>
  <c r="F33" i="25"/>
  <c r="G33" i="24"/>
  <c r="G34" i="24" s="1"/>
  <c r="F35" i="24" s="1"/>
  <c r="N33" i="24"/>
  <c r="N34" i="24" s="1"/>
  <c r="M35" i="24" s="1"/>
  <c r="U33" i="24"/>
  <c r="U34" i="24" s="1"/>
  <c r="G16" i="24"/>
  <c r="AB33" i="24"/>
  <c r="AB34" i="24" s="1"/>
  <c r="AA35" i="24" s="1"/>
  <c r="U16" i="24"/>
  <c r="U17" i="24" s="1"/>
  <c r="T18" i="24" s="1"/>
  <c r="AB16" i="24"/>
  <c r="AB17" i="24" s="1"/>
  <c r="AA18" i="24" s="1"/>
  <c r="M33" i="24"/>
  <c r="N10" i="24"/>
  <c r="N16" i="24" s="1"/>
  <c r="N17" i="24" s="1"/>
  <c r="M18" i="24" s="1"/>
  <c r="T16" i="24"/>
  <c r="T33" i="24"/>
  <c r="AA16" i="24"/>
  <c r="AA33" i="24"/>
  <c r="F16" i="24"/>
  <c r="F33" i="24"/>
  <c r="G33" i="23"/>
  <c r="G34" i="23" s="1"/>
  <c r="F35" i="23" s="1"/>
  <c r="N33" i="23"/>
  <c r="N34" i="23" s="1"/>
  <c r="G16" i="23"/>
  <c r="U33" i="23"/>
  <c r="N16" i="23"/>
  <c r="N17" i="23" s="1"/>
  <c r="M18" i="23" s="1"/>
  <c r="AB33" i="23"/>
  <c r="AB34" i="23" s="1"/>
  <c r="AA35" i="23" s="1"/>
  <c r="U16" i="23"/>
  <c r="U17" i="23" s="1"/>
  <c r="T18" i="23" s="1"/>
  <c r="AB16" i="23"/>
  <c r="AB17" i="23" s="1"/>
  <c r="AA18" i="23" s="1"/>
  <c r="M33" i="23"/>
  <c r="T16" i="23"/>
  <c r="T33" i="23"/>
  <c r="AA16" i="23"/>
  <c r="AA33" i="23"/>
  <c r="F16" i="23"/>
  <c r="F33" i="23"/>
  <c r="G33" i="22"/>
  <c r="G34" i="22" s="1"/>
  <c r="F35" i="22" s="1"/>
  <c r="N33" i="22"/>
  <c r="N34" i="22" s="1"/>
  <c r="M35" i="22" s="1"/>
  <c r="U33" i="22"/>
  <c r="U34" i="22" s="1"/>
  <c r="T35" i="22" s="1"/>
  <c r="AB33" i="22"/>
  <c r="AB34" i="22" s="1"/>
  <c r="AA35" i="22" s="1"/>
  <c r="M33" i="22"/>
  <c r="N8" i="22"/>
  <c r="N16" i="22" s="1"/>
  <c r="T16" i="22"/>
  <c r="T33" i="22"/>
  <c r="AA16" i="22"/>
  <c r="AA33" i="22"/>
  <c r="F16" i="22"/>
  <c r="F33" i="22"/>
  <c r="G33" i="21"/>
  <c r="G34" i="21" s="1"/>
  <c r="F35" i="21" s="1"/>
  <c r="N33" i="21"/>
  <c r="N34" i="21" s="1"/>
  <c r="G16" i="21"/>
  <c r="U33" i="21"/>
  <c r="AB33" i="21"/>
  <c r="AB34" i="21" s="1"/>
  <c r="AA35" i="21" s="1"/>
  <c r="N16" i="21"/>
  <c r="N17" i="21" s="1"/>
  <c r="M18" i="21" s="1"/>
  <c r="AB16" i="21"/>
  <c r="AB17" i="21" s="1"/>
  <c r="AA18" i="21" s="1"/>
  <c r="T33" i="21"/>
  <c r="U8" i="21"/>
  <c r="U16" i="21" s="1"/>
  <c r="U17" i="21" s="1"/>
  <c r="T18" i="21" s="1"/>
  <c r="AA16" i="21"/>
  <c r="AA33" i="21"/>
  <c r="F16" i="21"/>
  <c r="F33" i="21"/>
  <c r="G33" i="20"/>
  <c r="G34" i="20" s="1"/>
  <c r="F35" i="20" s="1"/>
  <c r="N33" i="20"/>
  <c r="N34" i="20" s="1"/>
  <c r="U33" i="20"/>
  <c r="AB33" i="20"/>
  <c r="AB34" i="20" s="1"/>
  <c r="AA35" i="20" s="1"/>
  <c r="M33" i="20"/>
  <c r="N8" i="20"/>
  <c r="N16" i="20" s="1"/>
  <c r="T16" i="20"/>
  <c r="T33" i="20"/>
  <c r="AA16" i="20"/>
  <c r="AA33" i="20"/>
  <c r="F16" i="20"/>
  <c r="F33" i="20"/>
  <c r="G33" i="19"/>
  <c r="G34" i="19" s="1"/>
  <c r="F35" i="19" s="1"/>
  <c r="N33" i="19"/>
  <c r="N34" i="19" s="1"/>
  <c r="M35" i="19" s="1"/>
  <c r="G16" i="19"/>
  <c r="U33" i="19"/>
  <c r="AB33" i="19"/>
  <c r="AB34" i="19" s="1"/>
  <c r="AA35" i="19" s="1"/>
  <c r="N16" i="19"/>
  <c r="N17" i="19" s="1"/>
  <c r="M18" i="19" s="1"/>
  <c r="U16" i="19"/>
  <c r="U17" i="19" s="1"/>
  <c r="T18" i="19" s="1"/>
  <c r="AB16" i="19"/>
  <c r="AB17" i="19" s="1"/>
  <c r="AA18" i="19" s="1"/>
  <c r="T33" i="19"/>
  <c r="AA16" i="19"/>
  <c r="AA33" i="19"/>
  <c r="T16" i="19"/>
  <c r="F16" i="19"/>
  <c r="F33" i="19"/>
  <c r="N16" i="18"/>
  <c r="N17" i="18" s="1"/>
  <c r="M18" i="18" s="1"/>
  <c r="N33" i="18"/>
  <c r="N34" i="18" s="1"/>
  <c r="M35" i="18" s="1"/>
  <c r="U33" i="18"/>
  <c r="U34" i="18" s="1"/>
  <c r="T35" i="18" s="1"/>
  <c r="G16" i="18"/>
  <c r="G33" i="18"/>
  <c r="G34" i="18" s="1"/>
  <c r="F35" i="18" s="1"/>
  <c r="T33" i="18"/>
  <c r="U6" i="18"/>
  <c r="U16" i="18" s="1"/>
  <c r="U17" i="18" s="1"/>
  <c r="T18" i="18" s="1"/>
  <c r="AA16" i="18"/>
  <c r="F16" i="18"/>
  <c r="F33" i="18"/>
  <c r="G33" i="17"/>
  <c r="G34" i="17" s="1"/>
  <c r="N33" i="17"/>
  <c r="N34" i="17" s="1"/>
  <c r="K36" i="17" s="1"/>
  <c r="G16" i="17"/>
  <c r="U33" i="17"/>
  <c r="AB33" i="17"/>
  <c r="AB34" i="17" s="1"/>
  <c r="N16" i="17"/>
  <c r="N17" i="17" s="1"/>
  <c r="M18" i="17" s="1"/>
  <c r="U16" i="17"/>
  <c r="U17" i="17" s="1"/>
  <c r="T18" i="17" s="1"/>
  <c r="AB16" i="17"/>
  <c r="AB17" i="17" s="1"/>
  <c r="T16" i="17"/>
  <c r="T33" i="17"/>
  <c r="AA16" i="17"/>
  <c r="AA33" i="17"/>
  <c r="F16" i="17"/>
  <c r="F33" i="17"/>
  <c r="G33" i="16"/>
  <c r="G34" i="16" s="1"/>
  <c r="F35" i="16" s="1"/>
  <c r="G16" i="16"/>
  <c r="U33" i="16"/>
  <c r="N16" i="16"/>
  <c r="N17" i="16" s="1"/>
  <c r="M18" i="16" s="1"/>
  <c r="AB33" i="16"/>
  <c r="AB34" i="16" s="1"/>
  <c r="AA35" i="16" s="1"/>
  <c r="AB16" i="16"/>
  <c r="AB17" i="16" s="1"/>
  <c r="AA18" i="16" s="1"/>
  <c r="U16" i="16"/>
  <c r="U17" i="16" s="1"/>
  <c r="T18" i="16" s="1"/>
  <c r="T16" i="16"/>
  <c r="T33" i="16"/>
  <c r="AA16" i="16"/>
  <c r="AA33" i="16"/>
  <c r="F16" i="16"/>
  <c r="Y37" i="16" s="1"/>
  <c r="F33" i="16"/>
  <c r="G33" i="15"/>
  <c r="G34" i="15" s="1"/>
  <c r="F35" i="15" s="1"/>
  <c r="N33" i="15"/>
  <c r="N34" i="15" s="1"/>
  <c r="M35" i="15" s="1"/>
  <c r="G16" i="15"/>
  <c r="U33" i="15"/>
  <c r="AB33" i="15"/>
  <c r="AB34" i="15" s="1"/>
  <c r="AA35" i="15" s="1"/>
  <c r="N16" i="15"/>
  <c r="N17" i="15" s="1"/>
  <c r="M18" i="15" s="1"/>
  <c r="U16" i="15"/>
  <c r="U17" i="15" s="1"/>
  <c r="T18" i="15" s="1"/>
  <c r="T33" i="15"/>
  <c r="AA33" i="15"/>
  <c r="AB6" i="15"/>
  <c r="AB16" i="15" s="1"/>
  <c r="AB17" i="15" s="1"/>
  <c r="AA18" i="15" s="1"/>
  <c r="T16" i="15"/>
  <c r="F16" i="15"/>
  <c r="Y37" i="15" s="1"/>
  <c r="F33" i="15"/>
  <c r="G33" i="14"/>
  <c r="G34" i="14" s="1"/>
  <c r="F35" i="14" s="1"/>
  <c r="N33" i="14"/>
  <c r="N34" i="14" s="1"/>
  <c r="M35" i="14" s="1"/>
  <c r="U33" i="14"/>
  <c r="AB33" i="14"/>
  <c r="AB34" i="14" s="1"/>
  <c r="AA35" i="14" s="1"/>
  <c r="U16" i="14"/>
  <c r="U17" i="14" s="1"/>
  <c r="T18" i="14" s="1"/>
  <c r="N16" i="14"/>
  <c r="N17" i="14" s="1"/>
  <c r="M18" i="14" s="1"/>
  <c r="G16" i="14"/>
  <c r="G17" i="14" s="1"/>
  <c r="F18" i="14" s="1"/>
  <c r="T33" i="14"/>
  <c r="AA33" i="14"/>
  <c r="AB6" i="14"/>
  <c r="AB16" i="14" s="1"/>
  <c r="AB17" i="14" s="1"/>
  <c r="AA18" i="14" s="1"/>
  <c r="F16" i="14"/>
  <c r="F33" i="14"/>
  <c r="AB16" i="13"/>
  <c r="AB17" i="13" s="1"/>
  <c r="AA18" i="13" s="1"/>
  <c r="N33" i="13"/>
  <c r="N34" i="13" s="1"/>
  <c r="M35" i="13" s="1"/>
  <c r="U33" i="13"/>
  <c r="AB33" i="13"/>
  <c r="AB34" i="13" s="1"/>
  <c r="AA35" i="13" s="1"/>
  <c r="G16" i="13"/>
  <c r="M33" i="13"/>
  <c r="T33" i="13"/>
  <c r="N6" i="13"/>
  <c r="N16" i="13" s="1"/>
  <c r="N17" i="13" s="1"/>
  <c r="M18" i="13" s="1"/>
  <c r="U6" i="13"/>
  <c r="U16" i="13" s="1"/>
  <c r="U17" i="13" s="1"/>
  <c r="T18" i="13" s="1"/>
  <c r="AA16" i="13"/>
  <c r="AA33" i="13"/>
  <c r="F16" i="13"/>
  <c r="F33" i="13"/>
  <c r="G33" i="12"/>
  <c r="G34" i="12" s="1"/>
  <c r="F35" i="12" s="1"/>
  <c r="U33" i="12"/>
  <c r="AB16" i="12"/>
  <c r="AB17" i="12" s="1"/>
  <c r="AA18" i="12" s="1"/>
  <c r="N33" i="12"/>
  <c r="N34" i="12" s="1"/>
  <c r="M35" i="12" s="1"/>
  <c r="AB33" i="12"/>
  <c r="AB34" i="12" s="1"/>
  <c r="AA35" i="12" s="1"/>
  <c r="M33" i="12"/>
  <c r="T33" i="12"/>
  <c r="AA16" i="12"/>
  <c r="AA33" i="12"/>
  <c r="N6" i="12"/>
  <c r="N16" i="12" s="1"/>
  <c r="N17" i="12" s="1"/>
  <c r="M18" i="12" s="1"/>
  <c r="U10" i="12"/>
  <c r="U16" i="12" s="1"/>
  <c r="U17" i="12" s="1"/>
  <c r="T18" i="12" s="1"/>
  <c r="F16" i="12"/>
  <c r="F33" i="12"/>
  <c r="G33" i="11"/>
  <c r="G34" i="11" s="1"/>
  <c r="F35" i="11" s="1"/>
  <c r="N33" i="11"/>
  <c r="N34" i="11" s="1"/>
  <c r="M35" i="11" s="1"/>
  <c r="AB33" i="11"/>
  <c r="AB34" i="11" s="1"/>
  <c r="AA35" i="11" s="1"/>
  <c r="U33" i="11"/>
  <c r="U34" i="11" s="1"/>
  <c r="T35" i="11" s="1"/>
  <c r="M33" i="11"/>
  <c r="T33" i="11"/>
  <c r="AA33" i="11"/>
  <c r="M16" i="11"/>
  <c r="U6" i="11"/>
  <c r="U16" i="11" s="1"/>
  <c r="U17" i="11" s="1"/>
  <c r="T18" i="11" s="1"/>
  <c r="AA16" i="11"/>
  <c r="F16" i="11"/>
  <c r="F33" i="11"/>
  <c r="U33" i="10"/>
  <c r="AB33" i="10"/>
  <c r="AB34" i="10" s="1"/>
  <c r="AA35" i="10" s="1"/>
  <c r="AB16" i="10"/>
  <c r="AB17" i="10" s="1"/>
  <c r="AA18" i="10" s="1"/>
  <c r="G16" i="10"/>
  <c r="T33" i="10"/>
  <c r="U6" i="10"/>
  <c r="U16" i="10" s="1"/>
  <c r="U17" i="10" s="1"/>
  <c r="T18" i="10" s="1"/>
  <c r="N6" i="10"/>
  <c r="N16" i="10" s="1"/>
  <c r="N17" i="10" s="1"/>
  <c r="M18" i="10" s="1"/>
  <c r="N23" i="10"/>
  <c r="N33" i="10" s="1"/>
  <c r="N34" i="10" s="1"/>
  <c r="M35" i="10" s="1"/>
  <c r="AA33" i="10"/>
  <c r="AA16" i="10"/>
  <c r="F16" i="10"/>
  <c r="F33" i="10"/>
  <c r="G17" i="40" l="1"/>
  <c r="F18" i="40" s="1"/>
  <c r="Y37" i="40"/>
  <c r="D35" i="31"/>
  <c r="F35" i="31" s="1"/>
  <c r="D35" i="29"/>
  <c r="F35" i="29" s="1"/>
  <c r="Y37" i="27"/>
  <c r="K33" i="26"/>
  <c r="M35" i="26" s="1"/>
  <c r="U34" i="26"/>
  <c r="R18" i="26"/>
  <c r="T18" i="26" s="1"/>
  <c r="Y37" i="24"/>
  <c r="R35" i="24"/>
  <c r="T35" i="24" s="1"/>
  <c r="K33" i="23"/>
  <c r="M35" i="23" s="1"/>
  <c r="K33" i="21"/>
  <c r="M35" i="21" s="1"/>
  <c r="F35" i="17"/>
  <c r="D36" i="17"/>
  <c r="K33" i="20"/>
  <c r="M35" i="20" s="1"/>
  <c r="Y36" i="17"/>
  <c r="AA35" i="17" s="1"/>
  <c r="U34" i="17"/>
  <c r="Y18" i="17"/>
  <c r="AA18" i="17" s="1"/>
  <c r="K33" i="17"/>
  <c r="M35" i="17" s="1"/>
  <c r="Y37" i="17"/>
  <c r="K33" i="16"/>
  <c r="M35" i="16" s="1"/>
  <c r="Y37" i="10"/>
  <c r="U34" i="40"/>
  <c r="T35" i="40" s="1"/>
  <c r="AA37" i="40"/>
  <c r="Y37" i="39"/>
  <c r="G17" i="39"/>
  <c r="F18" i="39" s="1"/>
  <c r="AA37" i="39" s="1"/>
  <c r="Y37" i="38"/>
  <c r="U34" i="38"/>
  <c r="T35" i="38" s="1"/>
  <c r="G17" i="38"/>
  <c r="F18" i="38" s="1"/>
  <c r="AA37" i="38" s="1"/>
  <c r="Y37" i="37"/>
  <c r="U34" i="37"/>
  <c r="T35" i="37" s="1"/>
  <c r="G17" i="37"/>
  <c r="F18" i="37" s="1"/>
  <c r="AA37" i="37" s="1"/>
  <c r="Y37" i="36"/>
  <c r="G17" i="36"/>
  <c r="F18" i="36" s="1"/>
  <c r="AA37" i="36" s="1"/>
  <c r="Y37" i="35"/>
  <c r="AA37" i="35"/>
  <c r="G17" i="34"/>
  <c r="F18" i="34" s="1"/>
  <c r="AA37" i="34" s="1"/>
  <c r="Y37" i="33"/>
  <c r="U34" i="33"/>
  <c r="T35" i="33" s="1"/>
  <c r="G17" i="33"/>
  <c r="F18" i="33" s="1"/>
  <c r="AA37" i="33" s="1"/>
  <c r="Y37" i="32"/>
  <c r="U34" i="32"/>
  <c r="T35" i="32" s="1"/>
  <c r="G17" i="32"/>
  <c r="F18" i="32" s="1"/>
  <c r="AA37" i="32" s="1"/>
  <c r="Y37" i="31"/>
  <c r="G17" i="31"/>
  <c r="F18" i="31" s="1"/>
  <c r="U34" i="31"/>
  <c r="T35" i="31" s="1"/>
  <c r="Y37" i="30"/>
  <c r="U34" i="30"/>
  <c r="T35" i="30" s="1"/>
  <c r="G17" i="30"/>
  <c r="F18" i="30" s="1"/>
  <c r="AA37" i="30" s="1"/>
  <c r="Y37" i="29"/>
  <c r="U34" i="29"/>
  <c r="T35" i="29" s="1"/>
  <c r="G17" i="29"/>
  <c r="Y37" i="28"/>
  <c r="U34" i="28"/>
  <c r="T35" i="28" s="1"/>
  <c r="G17" i="28"/>
  <c r="F18" i="28" s="1"/>
  <c r="AA37" i="28" s="1"/>
  <c r="G17" i="27"/>
  <c r="F18" i="27" s="1"/>
  <c r="U34" i="27"/>
  <c r="T35" i="27" s="1"/>
  <c r="Y37" i="26"/>
  <c r="G17" i="26"/>
  <c r="Y37" i="25"/>
  <c r="U34" i="25"/>
  <c r="T35" i="25" s="1"/>
  <c r="G17" i="25"/>
  <c r="F18" i="25" s="1"/>
  <c r="AA37" i="25" s="1"/>
  <c r="G17" i="24"/>
  <c r="F18" i="24" s="1"/>
  <c r="Y37" i="23"/>
  <c r="U34" i="23"/>
  <c r="G17" i="23"/>
  <c r="N17" i="22"/>
  <c r="M18" i="22" s="1"/>
  <c r="G17" i="22"/>
  <c r="F18" i="22" s="1"/>
  <c r="AA37" i="22" s="1"/>
  <c r="Y37" i="22"/>
  <c r="Y37" i="21"/>
  <c r="U34" i="21"/>
  <c r="T35" i="21" s="1"/>
  <c r="G17" i="21"/>
  <c r="F18" i="21" s="1"/>
  <c r="N17" i="20"/>
  <c r="M18" i="20" s="1"/>
  <c r="G17" i="20"/>
  <c r="F18" i="20" s="1"/>
  <c r="Y37" i="20"/>
  <c r="U34" i="20"/>
  <c r="T35" i="20" s="1"/>
  <c r="Y37" i="19"/>
  <c r="U34" i="19"/>
  <c r="T35" i="19" s="1"/>
  <c r="G17" i="19"/>
  <c r="F18" i="19" s="1"/>
  <c r="Y37" i="18"/>
  <c r="G17" i="18"/>
  <c r="F18" i="18" s="1"/>
  <c r="AA37" i="18" s="1"/>
  <c r="G17" i="17"/>
  <c r="F18" i="17" s="1"/>
  <c r="U34" i="16"/>
  <c r="T35" i="16" s="1"/>
  <c r="G17" i="16"/>
  <c r="F18" i="16" s="1"/>
  <c r="U34" i="15"/>
  <c r="T35" i="15" s="1"/>
  <c r="G17" i="15"/>
  <c r="F18" i="15" s="1"/>
  <c r="AA37" i="15" s="1"/>
  <c r="Y37" i="14"/>
  <c r="U34" i="14"/>
  <c r="T35" i="14" s="1"/>
  <c r="AA37" i="14" s="1"/>
  <c r="Y37" i="13"/>
  <c r="G17" i="13"/>
  <c r="F18" i="13" s="1"/>
  <c r="AA37" i="13" s="1"/>
  <c r="U34" i="13"/>
  <c r="T35" i="13" s="1"/>
  <c r="Y37" i="12"/>
  <c r="U34" i="12"/>
  <c r="T35" i="12" s="1"/>
  <c r="G17" i="12"/>
  <c r="F18" i="12" s="1"/>
  <c r="AA37" i="12" s="1"/>
  <c r="G17" i="11"/>
  <c r="F18" i="11" s="1"/>
  <c r="AA37" i="11" s="1"/>
  <c r="Y37" i="11"/>
  <c r="G17" i="10"/>
  <c r="F18" i="10" s="1"/>
  <c r="U34" i="10"/>
  <c r="T35" i="10" s="1"/>
  <c r="AA37" i="31" l="1"/>
  <c r="D18" i="29"/>
  <c r="F18" i="29" s="1"/>
  <c r="AA37" i="29" s="1"/>
  <c r="D19" i="26"/>
  <c r="F18" i="26" s="1"/>
  <c r="R35" i="26"/>
  <c r="T35" i="26" s="1"/>
  <c r="AA37" i="24"/>
  <c r="R35" i="23"/>
  <c r="T35" i="23" s="1"/>
  <c r="D18" i="23"/>
  <c r="F18" i="23" s="1"/>
  <c r="AA37" i="21"/>
  <c r="AA37" i="19"/>
  <c r="R36" i="17"/>
  <c r="T35" i="17" s="1"/>
  <c r="AA37" i="17" s="1"/>
  <c r="AA37" i="16"/>
  <c r="AA37" i="27"/>
  <c r="AA37" i="20"/>
  <c r="AA37" i="10"/>
  <c r="AA37" i="26" l="1"/>
  <c r="AA37" i="23"/>
</calcChain>
</file>

<file path=xl/sharedStrings.xml><?xml version="1.0" encoding="utf-8"?>
<sst xmlns="http://schemas.openxmlformats.org/spreadsheetml/2006/main" count="3113" uniqueCount="42">
  <si>
    <t>упр.</t>
  </si>
  <si>
    <t>удары</t>
  </si>
  <si>
    <t>мод.</t>
  </si>
  <si>
    <t>прав.</t>
  </si>
  <si>
    <t>лев.</t>
  </si>
  <si>
    <t>опыт</t>
  </si>
  <si>
    <t>удары/круг</t>
  </si>
  <si>
    <t>spada a uno mano</t>
  </si>
  <si>
    <t>spada a due mani</t>
  </si>
  <si>
    <t>spada e scudo</t>
  </si>
  <si>
    <t>due spade</t>
  </si>
  <si>
    <t>spadone</t>
  </si>
  <si>
    <t>acia &amp; alabarda</t>
  </si>
  <si>
    <t>spiedo &amp; partesana</t>
  </si>
  <si>
    <t>spiedo e scudo</t>
  </si>
  <si>
    <t>бонус 3</t>
  </si>
  <si>
    <t>бонус 2</t>
  </si>
  <si>
    <t>бонус 1</t>
  </si>
  <si>
    <t>бонус 4</t>
  </si>
  <si>
    <t>ASS1</t>
  </si>
  <si>
    <t>ASS1|ABL</t>
  </si>
  <si>
    <t>JM1</t>
  </si>
  <si>
    <t>JM2</t>
  </si>
  <si>
    <t>JM3</t>
  </si>
  <si>
    <t>JM4</t>
  </si>
  <si>
    <t>PA1-3</t>
  </si>
  <si>
    <t>PA1</t>
  </si>
  <si>
    <t>SQI</t>
  </si>
  <si>
    <t>PA2</t>
  </si>
  <si>
    <t>PA3</t>
  </si>
  <si>
    <t>AM180P2</t>
  </si>
  <si>
    <t>AM179P2</t>
  </si>
  <si>
    <t>AM180P1-2</t>
  </si>
  <si>
    <t>STCI</t>
  </si>
  <si>
    <t>ASS2</t>
  </si>
  <si>
    <t>WTCR</t>
  </si>
  <si>
    <t>ENT</t>
  </si>
  <si>
    <t>ENT|ABL</t>
  </si>
  <si>
    <t>E|A|1|A</t>
  </si>
  <si>
    <t>ASS2|ABL</t>
  </si>
  <si>
    <t>E|A|1|A|2|A</t>
  </si>
  <si>
    <t>RDPI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</si>
</sst>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9"/>
      <name val="Calibri"/>
      <family val="2"/>
      <scheme val="minor"/>
    </font>
    <font>
      <sz val="8"/>
      <color theme="2" tint="-9.9978637043366805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theme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1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 wrapText="1"/>
    </xf>
    <xf numFmtId="9" fontId="6" fillId="5" borderId="0" xfId="0" applyNumberFormat="1" applyFont="1" applyFill="1" applyAlignment="1">
      <alignment horizontal="center" vertical="center" wrapText="1"/>
    </xf>
    <xf numFmtId="9" fontId="7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3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BE1FB"/>
      <color rgb="FFF5A9F5"/>
      <color rgb="FFFAA4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16FB-69C5-4F6B-A643-AFC71D6DD7D8}">
  <dimension ref="A1:AB38"/>
  <sheetViews>
    <sheetView workbookViewId="0">
      <selection activeCell="E6" sqref="E6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25</v>
      </c>
      <c r="B6" s="1">
        <v>240</v>
      </c>
      <c r="C6" s="1">
        <v>1.06</v>
      </c>
      <c r="D6" s="1">
        <v>1</v>
      </c>
      <c r="E6" s="1">
        <v>1</v>
      </c>
      <c r="F6" s="1">
        <f>(D6+E6)*B6</f>
        <v>480</v>
      </c>
      <c r="G6" s="1">
        <f>(F6*C6)/10</f>
        <v>50.88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 t="s">
        <v>19</v>
      </c>
      <c r="P6" s="1">
        <v>10</v>
      </c>
      <c r="Q6" s="1">
        <v>1.87</v>
      </c>
      <c r="R6" s="1">
        <v>100</v>
      </c>
      <c r="S6" s="1"/>
      <c r="T6" s="1">
        <f>(R6+S6)*P6</f>
        <v>1000</v>
      </c>
      <c r="U6" s="1">
        <f>(T6*Q6)/10</f>
        <v>187</v>
      </c>
      <c r="V6" s="1" t="s">
        <v>21</v>
      </c>
      <c r="W6" s="1">
        <v>104</v>
      </c>
      <c r="X6" s="1">
        <v>1.56</v>
      </c>
      <c r="Y6" s="1">
        <v>1</v>
      </c>
      <c r="Z6" s="1">
        <v>1</v>
      </c>
      <c r="AA6" s="1">
        <f>(Y6+Z6)*W6</f>
        <v>208</v>
      </c>
      <c r="AB6" s="1">
        <f>(AA6*X6)/10</f>
        <v>32.448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 t="s">
        <v>20</v>
      </c>
      <c r="P7" s="1">
        <v>15</v>
      </c>
      <c r="Q7" s="1">
        <v>1.87</v>
      </c>
      <c r="R7" s="1">
        <v>100</v>
      </c>
      <c r="S7" s="1"/>
      <c r="T7" s="1">
        <f t="shared" ref="T7:T15" si="4">(R7+S7)*P7</f>
        <v>1500</v>
      </c>
      <c r="U7" s="1">
        <f t="shared" ref="U7:U15" si="5">(T7*Q7)/10</f>
        <v>280.5</v>
      </c>
      <c r="V7" s="1" t="s">
        <v>22</v>
      </c>
      <c r="W7" s="1">
        <v>104</v>
      </c>
      <c r="X7" s="1">
        <v>1.56</v>
      </c>
      <c r="Y7" s="1">
        <v>1</v>
      </c>
      <c r="Z7" s="1">
        <v>1</v>
      </c>
      <c r="AA7" s="1">
        <f t="shared" ref="AA7:AA15" si="6">(Y7+Z7)*W7</f>
        <v>208</v>
      </c>
      <c r="AB7" s="1">
        <f t="shared" ref="AB7:AB15" si="7">(AA7*X7)/10</f>
        <v>32.448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 t="s">
        <v>23</v>
      </c>
      <c r="W8" s="1">
        <v>104</v>
      </c>
      <c r="X8" s="1">
        <v>1.56</v>
      </c>
      <c r="Y8" s="1">
        <v>1</v>
      </c>
      <c r="Z8" s="1">
        <v>1</v>
      </c>
      <c r="AA8" s="1">
        <f t="shared" si="6"/>
        <v>208</v>
      </c>
      <c r="AB8" s="1">
        <f t="shared" si="7"/>
        <v>32.448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 t="s">
        <v>24</v>
      </c>
      <c r="W9" s="1">
        <v>104</v>
      </c>
      <c r="X9" s="1">
        <v>1.56</v>
      </c>
      <c r="Y9" s="1">
        <v>1</v>
      </c>
      <c r="Z9" s="1">
        <v>1</v>
      </c>
      <c r="AA9" s="1">
        <f t="shared" si="6"/>
        <v>208</v>
      </c>
      <c r="AB9" s="1">
        <f t="shared" si="7"/>
        <v>32.448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480</v>
      </c>
      <c r="G16" s="3">
        <f>SUM(G6:G15)</f>
        <v>50.88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2500</v>
      </c>
      <c r="U16" s="3">
        <f>SUM(U6:U15)</f>
        <v>467.5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832</v>
      </c>
      <c r="AB16" s="3">
        <f>SUM(AB6:AB15)</f>
        <v>129.792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167.755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350.625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129.792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167.755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350.625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129.792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3812</v>
      </c>
      <c r="Z37" s="10"/>
      <c r="AA37" s="10">
        <f>F18+M18+T18+AA18+F35+M35+T35+AA35</f>
        <v>648.17200000000003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64BF-B513-43E8-975E-B846638C9678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CBD0-90B7-4945-A468-3EEA03DFD3A8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C1D6-BF6A-428A-81D7-637FC16FDBC4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EACF-2589-4A34-967E-DD7A652A6680}">
  <dimension ref="A1:AB38"/>
  <sheetViews>
    <sheetView workbookViewId="0">
      <selection activeCell="Y6" sqref="Y6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 t="s">
        <v>26</v>
      </c>
      <c r="P6" s="1">
        <v>10</v>
      </c>
      <c r="Q6" s="1">
        <v>3.73</v>
      </c>
      <c r="R6" s="1">
        <v>70</v>
      </c>
      <c r="S6" s="1"/>
      <c r="T6" s="1">
        <f>(R6+S6)*P6</f>
        <v>700</v>
      </c>
      <c r="U6" s="1">
        <f>(T6*Q6)/10</f>
        <v>261.10000000000002</v>
      </c>
      <c r="V6" s="1" t="s">
        <v>21</v>
      </c>
      <c r="W6" s="1">
        <v>104</v>
      </c>
      <c r="X6" s="1">
        <v>1.56</v>
      </c>
      <c r="Y6" s="1">
        <v>2</v>
      </c>
      <c r="Z6" s="1">
        <v>2</v>
      </c>
      <c r="AA6" s="1">
        <f>(Y6+Z6)*W6</f>
        <v>416</v>
      </c>
      <c r="AB6" s="1">
        <f>(AA6*X6)/10</f>
        <v>64.896000000000001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 t="s">
        <v>22</v>
      </c>
      <c r="W7" s="1">
        <v>104</v>
      </c>
      <c r="X7" s="1">
        <v>1.56</v>
      </c>
      <c r="Y7" s="1">
        <v>2</v>
      </c>
      <c r="Z7" s="1">
        <v>2</v>
      </c>
      <c r="AA7" s="1">
        <f t="shared" ref="AA7:AA15" si="6">(Y7+Z7)*W7</f>
        <v>416</v>
      </c>
      <c r="AB7" s="1">
        <f t="shared" ref="AB7:AB15" si="7">(AA7*X7)/10</f>
        <v>64.896000000000001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 t="s">
        <v>23</v>
      </c>
      <c r="W8" s="1">
        <v>104</v>
      </c>
      <c r="X8" s="1">
        <v>1.56</v>
      </c>
      <c r="Y8" s="1">
        <v>2</v>
      </c>
      <c r="Z8" s="1">
        <v>2</v>
      </c>
      <c r="AA8" s="1">
        <f t="shared" si="6"/>
        <v>416</v>
      </c>
      <c r="AB8" s="1">
        <f t="shared" si="7"/>
        <v>64.896000000000001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 t="s">
        <v>24</v>
      </c>
      <c r="W9" s="1">
        <v>104</v>
      </c>
      <c r="X9" s="1">
        <v>1.56</v>
      </c>
      <c r="Y9" s="1">
        <v>2</v>
      </c>
      <c r="Z9" s="1">
        <v>2</v>
      </c>
      <c r="AA9" s="1">
        <f t="shared" si="6"/>
        <v>416</v>
      </c>
      <c r="AB9" s="1">
        <f t="shared" si="7"/>
        <v>64.896000000000001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700</v>
      </c>
      <c r="U16" s="3">
        <f>SUM(U6:U15)</f>
        <v>261.10000000000002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1664</v>
      </c>
      <c r="AB16" s="3">
        <f>SUM(AB6:AB15)</f>
        <v>259.584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65.275000000000006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195.82500000000002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259.584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65.275000000000006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195.82500000000002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259.584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2364</v>
      </c>
      <c r="Z37" s="10"/>
      <c r="AA37" s="10">
        <f>F18+M18+T18+AA18+F35+M35+T35+AA35</f>
        <v>520.68399999999997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519F-323E-4776-9C25-C11FB9026018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3C70-7D82-4876-963B-BF6B73F61988}">
  <dimension ref="A1:AB38"/>
  <sheetViews>
    <sheetView workbookViewId="0">
      <selection activeCell="D6" sqref="D6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26</v>
      </c>
      <c r="B6" s="1">
        <v>10</v>
      </c>
      <c r="C6" s="1">
        <v>1.06</v>
      </c>
      <c r="D6" s="1">
        <v>40</v>
      </c>
      <c r="E6" s="1">
        <v>40</v>
      </c>
      <c r="F6" s="1">
        <f>(D6+E6)*B6</f>
        <v>800</v>
      </c>
      <c r="G6" s="1">
        <f>(F6*C6)/10</f>
        <v>84.8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800</v>
      </c>
      <c r="G16" s="3">
        <f>SUM(G6:G15)</f>
        <v>84.8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84.8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84.8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 t="s">
        <v>27</v>
      </c>
      <c r="I23" s="1">
        <v>104</v>
      </c>
      <c r="J23" s="1">
        <v>2.2599999999999998</v>
      </c>
      <c r="K23" s="1">
        <v>6</v>
      </c>
      <c r="L23" s="1">
        <v>6</v>
      </c>
      <c r="M23" s="1">
        <f>(K23+L23)*I23</f>
        <v>1248</v>
      </c>
      <c r="N23" s="1">
        <f>(M23*J23)/10</f>
        <v>282.04799999999994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28.204799999999995</v>
      </c>
      <c r="L33" s="15"/>
      <c r="M33" s="12">
        <f>SUM(M23:M32)</f>
        <v>1248</v>
      </c>
      <c r="N33" s="3">
        <f>SUM(N23:N32)</f>
        <v>282.04799999999994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282.04799999999994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310.25279999999992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2048</v>
      </c>
      <c r="Z37" s="10"/>
      <c r="AA37" s="10">
        <f>F18+M18+T18+AA18+F35+M35+T35+AA35</f>
        <v>395.05279999999993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B642-AD33-46FC-BC93-94C99B35FC07}">
  <dimension ref="A1:AB38"/>
  <sheetViews>
    <sheetView workbookViewId="0">
      <selection activeCell="R30" sqref="R30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25</v>
      </c>
      <c r="B6" s="1">
        <v>240</v>
      </c>
      <c r="C6" s="1">
        <v>0.95</v>
      </c>
      <c r="D6" s="1">
        <v>1</v>
      </c>
      <c r="E6" s="1">
        <v>1</v>
      </c>
      <c r="F6" s="1">
        <f>(D6+E6)*B6</f>
        <v>480</v>
      </c>
      <c r="G6" s="1">
        <f>(F6*C6)/10</f>
        <v>45.6</v>
      </c>
      <c r="H6" s="1" t="s">
        <v>27</v>
      </c>
      <c r="I6" s="1">
        <v>160</v>
      </c>
      <c r="J6" s="1">
        <v>1.87</v>
      </c>
      <c r="K6" s="1">
        <v>1</v>
      </c>
      <c r="L6" s="1">
        <v>1</v>
      </c>
      <c r="M6" s="1">
        <f>(K6+L6)*I6</f>
        <v>320</v>
      </c>
      <c r="N6" s="1">
        <f>(M6*J6)/10</f>
        <v>59.840000000000011</v>
      </c>
      <c r="O6" s="1" t="s">
        <v>27</v>
      </c>
      <c r="P6" s="1">
        <v>40</v>
      </c>
      <c r="Q6" s="1">
        <v>5.3</v>
      </c>
      <c r="R6" s="1">
        <v>20</v>
      </c>
      <c r="S6" s="1"/>
      <c r="T6" s="1">
        <f>(R6+S6)*P6</f>
        <v>800</v>
      </c>
      <c r="U6" s="1">
        <f>(T6*Q6)/10</f>
        <v>424</v>
      </c>
      <c r="V6" s="1" t="s">
        <v>26</v>
      </c>
      <c r="W6" s="1">
        <v>15</v>
      </c>
      <c r="X6" s="1">
        <v>1.56</v>
      </c>
      <c r="Y6" s="1">
        <v>20</v>
      </c>
      <c r="Z6" s="1">
        <v>20</v>
      </c>
      <c r="AA6" s="1">
        <f>(Y6+Z6)*W6</f>
        <v>600</v>
      </c>
      <c r="AB6" s="1">
        <f>(AA6*X6)/10</f>
        <v>93.6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 t="s">
        <v>28</v>
      </c>
      <c r="W7" s="1">
        <v>10</v>
      </c>
      <c r="X7" s="1">
        <v>1.56</v>
      </c>
      <c r="Y7" s="1">
        <v>20</v>
      </c>
      <c r="Z7" s="1">
        <v>20</v>
      </c>
      <c r="AA7" s="1">
        <f t="shared" ref="AA7:AA15" si="6">(Y7+Z7)*W7</f>
        <v>400</v>
      </c>
      <c r="AB7" s="1">
        <f t="shared" ref="AB7:AB15" si="7">(AA7*X7)/10</f>
        <v>62.4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 t="s">
        <v>29</v>
      </c>
      <c r="W8" s="1">
        <v>10</v>
      </c>
      <c r="X8" s="1">
        <v>1.56</v>
      </c>
      <c r="Y8" s="1">
        <v>20</v>
      </c>
      <c r="Z8" s="1">
        <v>20</v>
      </c>
      <c r="AA8" s="1">
        <f t="shared" si="6"/>
        <v>400</v>
      </c>
      <c r="AB8" s="1">
        <f t="shared" si="7"/>
        <v>62.4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 t="s">
        <v>25</v>
      </c>
      <c r="W9" s="1">
        <v>35</v>
      </c>
      <c r="X9" s="1">
        <v>1.56</v>
      </c>
      <c r="Y9" s="1">
        <v>10</v>
      </c>
      <c r="Z9" s="1">
        <v>10</v>
      </c>
      <c r="AA9" s="1">
        <f t="shared" si="6"/>
        <v>700</v>
      </c>
      <c r="AB9" s="1">
        <f t="shared" si="7"/>
        <v>109.2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480</v>
      </c>
      <c r="G16" s="3">
        <f>SUM(G6:G15)</f>
        <v>45.6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320</v>
      </c>
      <c r="N16" s="3">
        <f>SUM(N6:N15)</f>
        <v>59.840000000000011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800</v>
      </c>
      <c r="U16" s="3">
        <f>SUM(U6:U15)</f>
        <v>424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2100</v>
      </c>
      <c r="AB16" s="3">
        <f>SUM(AB6:AB15)</f>
        <v>327.60000000000002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166.56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44.88000000000001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318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327.60000000000002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208.2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56.100000000000009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397.5</v>
      </c>
      <c r="U18" s="11"/>
      <c r="V18" s="19" t="s">
        <v>15</v>
      </c>
      <c r="W18" s="19"/>
      <c r="X18" s="6">
        <v>0.1</v>
      </c>
      <c r="Y18" s="19">
        <f>AB17/10</f>
        <v>32.760000000000005</v>
      </c>
      <c r="Z18" s="19"/>
      <c r="AA18" s="11">
        <f>AB17+Y16+Y17+Y18+Y19</f>
        <v>442.26</v>
      </c>
      <c r="AB18" s="11"/>
    </row>
    <row r="19" spans="1:28" x14ac:dyDescent="0.25">
      <c r="A19" s="18" t="s">
        <v>18</v>
      </c>
      <c r="B19" s="18"/>
      <c r="C19" s="7">
        <v>0.25</v>
      </c>
      <c r="D19" s="18">
        <f>G17/4</f>
        <v>41.64</v>
      </c>
      <c r="E19" s="18"/>
      <c r="F19" s="11"/>
      <c r="G19" s="11"/>
      <c r="H19" s="18" t="s">
        <v>18</v>
      </c>
      <c r="I19" s="18"/>
      <c r="J19" s="7">
        <v>0.25</v>
      </c>
      <c r="K19" s="18">
        <f>N17/4</f>
        <v>11.220000000000002</v>
      </c>
      <c r="L19" s="18"/>
      <c r="M19" s="11"/>
      <c r="N19" s="11"/>
      <c r="O19" s="18" t="s">
        <v>18</v>
      </c>
      <c r="P19" s="18"/>
      <c r="Q19" s="7">
        <v>0.25</v>
      </c>
      <c r="R19" s="18">
        <f>U17/4</f>
        <v>79.5</v>
      </c>
      <c r="S19" s="18"/>
      <c r="T19" s="11"/>
      <c r="U19" s="11"/>
      <c r="V19" s="18" t="s">
        <v>18</v>
      </c>
      <c r="W19" s="18"/>
      <c r="X19" s="7">
        <v>0.25</v>
      </c>
      <c r="Y19" s="18">
        <f>AB17/4</f>
        <v>81.900000000000006</v>
      </c>
      <c r="Z19" s="1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 t="s">
        <v>21</v>
      </c>
      <c r="B23" s="1">
        <v>104</v>
      </c>
      <c r="C23" s="1">
        <v>2.11</v>
      </c>
      <c r="D23" s="1">
        <v>1</v>
      </c>
      <c r="E23" s="1">
        <v>1</v>
      </c>
      <c r="F23" s="1">
        <f>(D23+E23)*B23</f>
        <v>208</v>
      </c>
      <c r="G23" s="1">
        <f>(F23*C23)/10</f>
        <v>43.887999999999998</v>
      </c>
      <c r="H23" s="1" t="s">
        <v>27</v>
      </c>
      <c r="I23" s="1">
        <v>104</v>
      </c>
      <c r="J23" s="1">
        <v>2.2599999999999998</v>
      </c>
      <c r="K23" s="1">
        <v>1</v>
      </c>
      <c r="L23" s="1">
        <v>1</v>
      </c>
      <c r="M23" s="1">
        <f>(K23+L23)*I23</f>
        <v>208</v>
      </c>
      <c r="N23" s="1">
        <f>(M23*J23)/10</f>
        <v>47.007999999999996</v>
      </c>
      <c r="O23" s="1" t="s">
        <v>30</v>
      </c>
      <c r="P23" s="1">
        <v>3</v>
      </c>
      <c r="Q23" s="1">
        <v>1.52</v>
      </c>
      <c r="R23" s="1">
        <v>100</v>
      </c>
      <c r="S23" s="1">
        <v>100</v>
      </c>
      <c r="T23" s="1">
        <f>(R23+S23)*P23</f>
        <v>600</v>
      </c>
      <c r="U23" s="1">
        <f>(T23*Q23)/10</f>
        <v>91.2</v>
      </c>
      <c r="V23" s="1" t="s">
        <v>31</v>
      </c>
      <c r="W23" s="1">
        <v>40</v>
      </c>
      <c r="X23" s="1">
        <v>5.58</v>
      </c>
      <c r="Y23" s="1">
        <v>10</v>
      </c>
      <c r="Z23" s="1"/>
      <c r="AA23" s="1">
        <f>(Y23+Z23)*W23</f>
        <v>400</v>
      </c>
      <c r="AB23" s="1">
        <f>(AA23*X23)/10</f>
        <v>223.2</v>
      </c>
    </row>
    <row r="24" spans="1:28" x14ac:dyDescent="0.25">
      <c r="A24" s="1" t="s">
        <v>22</v>
      </c>
      <c r="B24" s="1">
        <v>104</v>
      </c>
      <c r="C24" s="4">
        <v>2.11</v>
      </c>
      <c r="D24" s="1">
        <v>1</v>
      </c>
      <c r="E24" s="1">
        <v>1</v>
      </c>
      <c r="F24" s="1">
        <f t="shared" ref="F24:F32" si="8">(D24+E24)*B24</f>
        <v>208</v>
      </c>
      <c r="G24" s="1">
        <f t="shared" ref="G24:G32" si="9">(F24*C24)/10</f>
        <v>43.887999999999998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 t="s">
        <v>23</v>
      </c>
      <c r="B25" s="1">
        <v>104</v>
      </c>
      <c r="C25" s="1">
        <v>2.11</v>
      </c>
      <c r="D25" s="1">
        <v>1</v>
      </c>
      <c r="E25" s="1">
        <v>1</v>
      </c>
      <c r="F25" s="1">
        <f t="shared" si="8"/>
        <v>208</v>
      </c>
      <c r="G25" s="1">
        <f t="shared" si="9"/>
        <v>43.887999999999998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 t="s">
        <v>24</v>
      </c>
      <c r="B26" s="1">
        <v>104</v>
      </c>
      <c r="C26" s="1">
        <v>2.11</v>
      </c>
      <c r="D26" s="1">
        <v>1</v>
      </c>
      <c r="E26" s="1">
        <v>1</v>
      </c>
      <c r="F26" s="1">
        <f t="shared" si="8"/>
        <v>208</v>
      </c>
      <c r="G26" s="1">
        <f t="shared" si="9"/>
        <v>43.887999999999998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832</v>
      </c>
      <c r="G33" s="3">
        <f>SUM(G23:G32)</f>
        <v>175.55199999999999</v>
      </c>
      <c r="H33" s="15" t="s">
        <v>17</v>
      </c>
      <c r="I33" s="15"/>
      <c r="J33" s="5">
        <v>0.1</v>
      </c>
      <c r="K33" s="15">
        <f>N34/10</f>
        <v>4.7007999999999992</v>
      </c>
      <c r="L33" s="15"/>
      <c r="M33" s="12">
        <f>SUM(M23:M32)</f>
        <v>208</v>
      </c>
      <c r="N33" s="3">
        <f>SUM(N23:N32)</f>
        <v>47.007999999999996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600</v>
      </c>
      <c r="U33" s="3">
        <f>SUM(U23:U32)</f>
        <v>91.2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400</v>
      </c>
      <c r="AB33" s="3">
        <f>SUM(AB23:AB32)</f>
        <v>223.2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175.55199999999999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47.007999999999996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147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167.39999999999998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219.44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63.460799999999992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183.75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209.24999999999997</v>
      </c>
      <c r="AB35" s="11"/>
    </row>
    <row r="36" spans="1:28" x14ac:dyDescent="0.25">
      <c r="A36" s="18" t="s">
        <v>18</v>
      </c>
      <c r="B36" s="18"/>
      <c r="C36" s="7">
        <v>0.25</v>
      </c>
      <c r="D36" s="18">
        <f>G34/4</f>
        <v>43.887999999999998</v>
      </c>
      <c r="E36" s="18"/>
      <c r="F36" s="11"/>
      <c r="G36" s="11"/>
      <c r="H36" s="18" t="s">
        <v>18</v>
      </c>
      <c r="I36" s="18"/>
      <c r="J36" s="7">
        <v>0.25</v>
      </c>
      <c r="K36" s="18">
        <f>N34/4</f>
        <v>11.751999999999999</v>
      </c>
      <c r="L36" s="18"/>
      <c r="M36" s="11"/>
      <c r="N36" s="11"/>
      <c r="O36" s="18" t="s">
        <v>18</v>
      </c>
      <c r="P36" s="18"/>
      <c r="Q36" s="7">
        <v>0.25</v>
      </c>
      <c r="R36" s="18">
        <f>U34/4</f>
        <v>36.75</v>
      </c>
      <c r="S36" s="18"/>
      <c r="T36" s="11"/>
      <c r="U36" s="11"/>
      <c r="V36" s="18" t="s">
        <v>18</v>
      </c>
      <c r="W36" s="18"/>
      <c r="X36" s="7">
        <v>0.25</v>
      </c>
      <c r="Y36" s="18">
        <f>AB34/4</f>
        <v>41.849999999999994</v>
      </c>
      <c r="Z36" s="1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5740</v>
      </c>
      <c r="Z37" s="10"/>
      <c r="AA37" s="10">
        <f>F18+M18+T18+AA18+F35+M35+T35+AA35</f>
        <v>1779.9608000000001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4A32-67D8-4DDE-9E30-46A47C0180A5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03B3-68D7-4E40-BF31-CD5B5405F5FB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25</v>
      </c>
      <c r="B6" s="1">
        <v>240</v>
      </c>
      <c r="C6" s="1">
        <v>1.06</v>
      </c>
      <c r="D6" s="1">
        <v>1</v>
      </c>
      <c r="E6" s="1"/>
      <c r="F6" s="1">
        <f>(D6+E6)*B6</f>
        <v>240</v>
      </c>
      <c r="G6" s="1">
        <f>(F6*C6)/10</f>
        <v>25.44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240</v>
      </c>
      <c r="G16" s="3">
        <f>SUM(G6:G15)</f>
        <v>25.44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25.44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25.44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 t="s">
        <v>30</v>
      </c>
      <c r="P23" s="1">
        <v>3</v>
      </c>
      <c r="Q23" s="1">
        <v>1.52</v>
      </c>
      <c r="R23" s="1">
        <v>200</v>
      </c>
      <c r="S23" s="1">
        <v>200</v>
      </c>
      <c r="T23" s="1">
        <f>(R23+S23)*P23</f>
        <v>1200</v>
      </c>
      <c r="U23" s="1">
        <f>(T23*Q23)/10</f>
        <v>182.4</v>
      </c>
      <c r="V23" s="1" t="s">
        <v>31</v>
      </c>
      <c r="W23" s="1">
        <v>40</v>
      </c>
      <c r="X23" s="1">
        <v>5.58</v>
      </c>
      <c r="Y23" s="1">
        <v>10</v>
      </c>
      <c r="Z23" s="1"/>
      <c r="AA23" s="1">
        <f>(Y23+Z23)*W23</f>
        <v>400</v>
      </c>
      <c r="AB23" s="1">
        <f>(AA23*X23)/10</f>
        <v>223.2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 t="s">
        <v>31</v>
      </c>
      <c r="W24" s="1">
        <v>48</v>
      </c>
      <c r="X24" s="1">
        <v>5.58</v>
      </c>
      <c r="Y24" s="1">
        <v>10</v>
      </c>
      <c r="Z24" s="1"/>
      <c r="AA24" s="1">
        <f t="shared" ref="AA24:AA32" si="14">(Y24+Z24)*W24</f>
        <v>480</v>
      </c>
      <c r="AB24" s="1">
        <f t="shared" ref="AB24:AB32" si="15">(AA24*X24)/10</f>
        <v>267.84000000000003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1200</v>
      </c>
      <c r="U33" s="3">
        <f>SUM(U23:U32)</f>
        <v>182.4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880</v>
      </c>
      <c r="AB33" s="3">
        <f>SUM(AB23:AB32)</f>
        <v>491.04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305.16000000000003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368.28000000000003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305.16000000000003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368.28000000000003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2320</v>
      </c>
      <c r="Z37" s="10"/>
      <c r="AA37" s="10">
        <f>F18+M18+T18+AA18+F35+M35+T35+AA35</f>
        <v>698.88000000000011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D696-1318-4F43-898B-910F4D69B4BD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26</v>
      </c>
      <c r="B6" s="1">
        <v>240</v>
      </c>
      <c r="C6" s="1">
        <v>0.95</v>
      </c>
      <c r="D6" s="1">
        <v>1</v>
      </c>
      <c r="E6" s="1">
        <v>1</v>
      </c>
      <c r="F6" s="1">
        <f>(D6+E6)*B6</f>
        <v>480</v>
      </c>
      <c r="G6" s="1">
        <f>(F6*C6)/10</f>
        <v>45.6</v>
      </c>
      <c r="H6" s="1" t="s">
        <v>26</v>
      </c>
      <c r="I6" s="1">
        <v>12</v>
      </c>
      <c r="J6" s="1">
        <v>1.87</v>
      </c>
      <c r="K6" s="1">
        <v>100</v>
      </c>
      <c r="L6" s="1"/>
      <c r="M6" s="1">
        <f>(K6+L6)*I6</f>
        <v>1200</v>
      </c>
      <c r="N6" s="1">
        <f>(M6*J6)/10</f>
        <v>224.4</v>
      </c>
      <c r="O6" s="1" t="s">
        <v>19</v>
      </c>
      <c r="P6" s="1">
        <v>10</v>
      </c>
      <c r="Q6" s="1">
        <v>1.87</v>
      </c>
      <c r="R6" s="1">
        <v>100</v>
      </c>
      <c r="S6" s="1"/>
      <c r="T6" s="1">
        <f>(R6+S6)*P6</f>
        <v>1000</v>
      </c>
      <c r="U6" s="1">
        <f>(T6*Q6)/10</f>
        <v>187</v>
      </c>
      <c r="V6" s="1" t="s">
        <v>26</v>
      </c>
      <c r="W6" s="1">
        <v>15</v>
      </c>
      <c r="X6" s="1">
        <v>1.56</v>
      </c>
      <c r="Y6" s="1">
        <v>50</v>
      </c>
      <c r="Z6" s="1">
        <v>50</v>
      </c>
      <c r="AA6" s="1">
        <f>(Y6+Z6)*W6</f>
        <v>1500</v>
      </c>
      <c r="AB6" s="1">
        <f>(AA6*X6)/10</f>
        <v>234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 t="s">
        <v>20</v>
      </c>
      <c r="P7" s="1">
        <v>15</v>
      </c>
      <c r="Q7" s="1">
        <v>1.87</v>
      </c>
      <c r="R7" s="1">
        <v>100</v>
      </c>
      <c r="S7" s="1"/>
      <c r="T7" s="1">
        <f t="shared" ref="T7:T15" si="4">(R7+S7)*P7</f>
        <v>1500</v>
      </c>
      <c r="U7" s="1">
        <f t="shared" ref="U7:U15" si="5">(T7*Q7)/10</f>
        <v>280.5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480</v>
      </c>
      <c r="G16" s="3">
        <f>SUM(G6:G15)</f>
        <v>45.6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1200</v>
      </c>
      <c r="N16" s="3">
        <f>SUM(N6:N15)</f>
        <v>224.4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2500</v>
      </c>
      <c r="U16" s="3">
        <f>SUM(U6:U15)</f>
        <v>467.5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1500</v>
      </c>
      <c r="AB16" s="3">
        <f>SUM(AB6:AB15)</f>
        <v>234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218.57499999999999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168.3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350.625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234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273.21875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210.375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438.28125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292.5</v>
      </c>
      <c r="AB18" s="11"/>
    </row>
    <row r="19" spans="1:28" x14ac:dyDescent="0.25">
      <c r="A19" s="18" t="s">
        <v>18</v>
      </c>
      <c r="B19" s="18"/>
      <c r="C19" s="7">
        <v>0.25</v>
      </c>
      <c r="D19" s="18">
        <f>G17/4</f>
        <v>54.643749999999997</v>
      </c>
      <c r="E19" s="18"/>
      <c r="F19" s="11"/>
      <c r="G19" s="11"/>
      <c r="H19" s="18" t="s">
        <v>18</v>
      </c>
      <c r="I19" s="18"/>
      <c r="J19" s="7">
        <v>0.25</v>
      </c>
      <c r="K19" s="18">
        <f>N17/4</f>
        <v>42.075000000000003</v>
      </c>
      <c r="L19" s="18"/>
      <c r="M19" s="11"/>
      <c r="N19" s="11"/>
      <c r="O19" s="18" t="s">
        <v>18</v>
      </c>
      <c r="P19" s="18"/>
      <c r="Q19" s="7">
        <v>0.25</v>
      </c>
      <c r="R19" s="18">
        <f>U17/4</f>
        <v>87.65625</v>
      </c>
      <c r="S19" s="18"/>
      <c r="T19" s="11"/>
      <c r="U19" s="11"/>
      <c r="V19" s="18" t="s">
        <v>18</v>
      </c>
      <c r="W19" s="18"/>
      <c r="X19" s="7">
        <v>0.25</v>
      </c>
      <c r="Y19" s="18">
        <f>AB17/4</f>
        <v>58.5</v>
      </c>
      <c r="Z19" s="1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 t="s">
        <v>21</v>
      </c>
      <c r="B23" s="1">
        <v>104</v>
      </c>
      <c r="C23" s="1">
        <v>2.14</v>
      </c>
      <c r="D23" s="1">
        <v>1</v>
      </c>
      <c r="E23" s="1">
        <v>1</v>
      </c>
      <c r="F23" s="1">
        <f>(D23+E23)*B23</f>
        <v>208</v>
      </c>
      <c r="G23" s="1">
        <f>(F23*C23)/10</f>
        <v>44.512</v>
      </c>
      <c r="H23" s="1" t="s">
        <v>32</v>
      </c>
      <c r="I23" s="1">
        <v>8</v>
      </c>
      <c r="J23" s="1">
        <v>2.2599999999999998</v>
      </c>
      <c r="K23" s="1">
        <v>100</v>
      </c>
      <c r="L23" s="1">
        <v>100</v>
      </c>
      <c r="M23" s="1">
        <f>(K23+L23)*I23</f>
        <v>1600</v>
      </c>
      <c r="N23" s="1">
        <f>(M23*J23)/10</f>
        <v>361.59999999999997</v>
      </c>
      <c r="O23" s="1" t="s">
        <v>32</v>
      </c>
      <c r="P23" s="1">
        <v>8</v>
      </c>
      <c r="Q23" s="1">
        <v>1.52</v>
      </c>
      <c r="R23" s="1">
        <v>100</v>
      </c>
      <c r="S23" s="1">
        <v>100</v>
      </c>
      <c r="T23" s="1">
        <f>(R23+S23)*P23</f>
        <v>1600</v>
      </c>
      <c r="U23" s="1">
        <f>(T23*Q23)/10</f>
        <v>243.2</v>
      </c>
      <c r="V23" s="1" t="s">
        <v>31</v>
      </c>
      <c r="W23" s="1">
        <v>40</v>
      </c>
      <c r="X23" s="1">
        <v>5.58</v>
      </c>
      <c r="Y23" s="1">
        <v>10</v>
      </c>
      <c r="Z23" s="1"/>
      <c r="AA23" s="1">
        <f>(Y23+Z23)*W23</f>
        <v>400</v>
      </c>
      <c r="AB23" s="1">
        <f>(AA23*X23)/10</f>
        <v>223.2</v>
      </c>
    </row>
    <row r="24" spans="1:28" x14ac:dyDescent="0.25">
      <c r="A24" s="1" t="s">
        <v>22</v>
      </c>
      <c r="B24" s="1">
        <v>104</v>
      </c>
      <c r="C24" s="4">
        <v>2.14</v>
      </c>
      <c r="D24" s="1">
        <v>1</v>
      </c>
      <c r="E24" s="1">
        <v>1</v>
      </c>
      <c r="F24" s="1">
        <f t="shared" ref="F24:F32" si="8">(D24+E24)*B24</f>
        <v>208</v>
      </c>
      <c r="G24" s="1">
        <f t="shared" ref="G24:G32" si="9">(F24*C24)/10</f>
        <v>44.512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 t="s">
        <v>31</v>
      </c>
      <c r="W24" s="1">
        <v>48</v>
      </c>
      <c r="X24" s="1">
        <v>5.58</v>
      </c>
      <c r="Y24" s="1">
        <v>2</v>
      </c>
      <c r="Z24" s="1"/>
      <c r="AA24" s="1">
        <f t="shared" ref="AA24:AA32" si="14">(Y24+Z24)*W24</f>
        <v>96</v>
      </c>
      <c r="AB24" s="1">
        <f t="shared" ref="AB24:AB32" si="15">(AA24*X24)/10</f>
        <v>53.568000000000005</v>
      </c>
    </row>
    <row r="25" spans="1:28" x14ac:dyDescent="0.25">
      <c r="A25" s="1" t="s">
        <v>23</v>
      </c>
      <c r="B25" s="1">
        <v>104</v>
      </c>
      <c r="C25" s="1">
        <v>2.14</v>
      </c>
      <c r="D25" s="1">
        <v>1</v>
      </c>
      <c r="E25" s="1">
        <v>1</v>
      </c>
      <c r="F25" s="1">
        <f t="shared" si="8"/>
        <v>208</v>
      </c>
      <c r="G25" s="1">
        <f t="shared" si="9"/>
        <v>44.512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 t="s">
        <v>24</v>
      </c>
      <c r="B26" s="1">
        <v>104</v>
      </c>
      <c r="C26" s="1">
        <v>2.14</v>
      </c>
      <c r="D26" s="1">
        <v>1</v>
      </c>
      <c r="E26" s="1">
        <v>1</v>
      </c>
      <c r="F26" s="1">
        <f t="shared" si="8"/>
        <v>208</v>
      </c>
      <c r="G26" s="1">
        <f t="shared" si="9"/>
        <v>44.512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832</v>
      </c>
      <c r="G33" s="3">
        <f>SUM(G23:G32)</f>
        <v>178.048</v>
      </c>
      <c r="H33" s="15" t="s">
        <v>17</v>
      </c>
      <c r="I33" s="15"/>
      <c r="J33" s="5">
        <v>0.1</v>
      </c>
      <c r="K33" s="15">
        <f>N34/10</f>
        <v>36.159999999999997</v>
      </c>
      <c r="L33" s="15"/>
      <c r="M33" s="12">
        <f>SUM(M23:M32)</f>
        <v>1600</v>
      </c>
      <c r="N33" s="3">
        <f>SUM(N23:N32)</f>
        <v>361.59999999999997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1600</v>
      </c>
      <c r="U33" s="3">
        <f>SUM(U23:U32)</f>
        <v>243.2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496</v>
      </c>
      <c r="AB33" s="3">
        <f>SUM(AB23:AB32)</f>
        <v>276.76799999999997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178.048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361.59999999999997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312.392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207.57599999999996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222.56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488.15999999999997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390.49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259.46999999999997</v>
      </c>
      <c r="AB35" s="11"/>
    </row>
    <row r="36" spans="1:28" x14ac:dyDescent="0.25">
      <c r="A36" s="18" t="s">
        <v>18</v>
      </c>
      <c r="B36" s="18"/>
      <c r="C36" s="7">
        <v>0.25</v>
      </c>
      <c r="D36" s="18">
        <f>G34/4</f>
        <v>44.512</v>
      </c>
      <c r="E36" s="18"/>
      <c r="F36" s="11"/>
      <c r="G36" s="11"/>
      <c r="H36" s="18" t="s">
        <v>18</v>
      </c>
      <c r="I36" s="18"/>
      <c r="J36" s="7">
        <v>0.25</v>
      </c>
      <c r="K36" s="18">
        <f>N34/4</f>
        <v>90.399999999999991</v>
      </c>
      <c r="L36" s="18"/>
      <c r="M36" s="11"/>
      <c r="N36" s="11"/>
      <c r="O36" s="18" t="s">
        <v>18</v>
      </c>
      <c r="P36" s="18"/>
      <c r="Q36" s="7">
        <v>0.25</v>
      </c>
      <c r="R36" s="18">
        <f>U34/4</f>
        <v>78.097999999999999</v>
      </c>
      <c r="S36" s="18"/>
      <c r="T36" s="11"/>
      <c r="U36" s="11"/>
      <c r="V36" s="18" t="s">
        <v>18</v>
      </c>
      <c r="W36" s="18"/>
      <c r="X36" s="7">
        <v>0.25</v>
      </c>
      <c r="Y36" s="18">
        <f>AB34/4</f>
        <v>51.893999999999991</v>
      </c>
      <c r="Z36" s="1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10208</v>
      </c>
      <c r="Z37" s="10"/>
      <c r="AA37" s="10">
        <f>F18+M18+T18+AA18+F35+M35+T35+AA35</f>
        <v>2575.0549999999998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2C07-106E-4BD6-B01B-EC6FEF3B8C0A}">
  <dimension ref="A1:AB38"/>
  <sheetViews>
    <sheetView workbookViewId="0">
      <selection activeCell="L23" sqref="L23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 t="s">
        <v>27</v>
      </c>
      <c r="I23" s="1">
        <v>104</v>
      </c>
      <c r="J23" s="1">
        <v>2.2599999999999998</v>
      </c>
      <c r="K23" s="1">
        <v>10</v>
      </c>
      <c r="L23" s="1">
        <v>10</v>
      </c>
      <c r="M23" s="1">
        <f>(K23+L23)*I23</f>
        <v>2080</v>
      </c>
      <c r="N23" s="1">
        <f>(M23*J23)/10</f>
        <v>470.07999999999993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47.007999999999996</v>
      </c>
      <c r="L33" s="15"/>
      <c r="M33" s="12">
        <f>SUM(M23:M32)</f>
        <v>2080</v>
      </c>
      <c r="N33" s="3">
        <f>SUM(N23:N32)</f>
        <v>470.07999999999993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470.07999999999993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517.08799999999997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2080</v>
      </c>
      <c r="Z37" s="10"/>
      <c r="AA37" s="10">
        <f>F18+M18+T18+AA18+F35+M35+T35+AA35</f>
        <v>517.08799999999997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36E-17F9-4D2A-9F11-6E6FC62D31BA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4CB9-FBF3-4596-89BB-A3A745ABEA78}">
  <dimension ref="A1:AB38"/>
  <sheetViews>
    <sheetView workbookViewId="0">
      <selection activeCell="F18" sqref="F18:G19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26</v>
      </c>
      <c r="B6" s="1">
        <v>10</v>
      </c>
      <c r="C6" s="1">
        <v>0.95</v>
      </c>
      <c r="D6" s="1">
        <v>70</v>
      </c>
      <c r="E6" s="1">
        <v>70</v>
      </c>
      <c r="F6" s="1">
        <f>(D6+E6)*B6</f>
        <v>1400</v>
      </c>
      <c r="G6" s="1">
        <f>(F6*C6)/10</f>
        <v>133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1400</v>
      </c>
      <c r="G16" s="3">
        <f>SUM(G6:G15)</f>
        <v>133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133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19" t="s">
        <v>15</v>
      </c>
      <c r="B18" s="19"/>
      <c r="C18" s="6">
        <v>0.1</v>
      </c>
      <c r="D18" s="19">
        <f>G17/10</f>
        <v>13.3</v>
      </c>
      <c r="E18" s="19"/>
      <c r="F18" s="11">
        <f>G17+D16+D17+D18+D19</f>
        <v>146.30000000000001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 t="s">
        <v>32</v>
      </c>
      <c r="I23" s="1">
        <v>8</v>
      </c>
      <c r="J23" s="1">
        <v>2.2599999999999998</v>
      </c>
      <c r="K23" s="1">
        <v>25</v>
      </c>
      <c r="L23" s="1">
        <v>25</v>
      </c>
      <c r="M23" s="1">
        <f>(K23+L23)*I23</f>
        <v>400</v>
      </c>
      <c r="N23" s="1">
        <f>(M23*J23)/10</f>
        <v>90.399999999999991</v>
      </c>
      <c r="O23" s="1" t="s">
        <v>32</v>
      </c>
      <c r="P23" s="1">
        <v>8</v>
      </c>
      <c r="Q23" s="1">
        <v>1.52</v>
      </c>
      <c r="R23" s="1">
        <v>100</v>
      </c>
      <c r="S23" s="1">
        <v>100</v>
      </c>
      <c r="T23" s="1">
        <f>(R23+S23)*P23</f>
        <v>1600</v>
      </c>
      <c r="U23" s="1">
        <f>(T23*Q23)/10</f>
        <v>243.2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9.0399999999999991</v>
      </c>
      <c r="L33" s="15"/>
      <c r="M33" s="12">
        <f>SUM(M23:M32)</f>
        <v>400</v>
      </c>
      <c r="N33" s="3">
        <f>SUM(N23:N32)</f>
        <v>90.399999999999991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1600</v>
      </c>
      <c r="U33" s="3">
        <f>SUM(U23:U32)</f>
        <v>243.2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90.399999999999991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243.2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19" t="s">
        <v>15</v>
      </c>
      <c r="I35" s="19"/>
      <c r="J35" s="6">
        <v>0.1</v>
      </c>
      <c r="K35" s="19">
        <f>N34/10</f>
        <v>9.0399999999999991</v>
      </c>
      <c r="L35" s="19"/>
      <c r="M35" s="11">
        <f>N34+K33+K34+K35+K36</f>
        <v>108.47999999999999</v>
      </c>
      <c r="N35" s="11"/>
      <c r="O35" s="19" t="s">
        <v>15</v>
      </c>
      <c r="P35" s="19"/>
      <c r="Q35" s="6">
        <v>0.1</v>
      </c>
      <c r="R35" s="19">
        <f>U34/10</f>
        <v>24.32</v>
      </c>
      <c r="S35" s="19"/>
      <c r="T35" s="11">
        <f>U34+R33+R34+R35+R36</f>
        <v>267.52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3400</v>
      </c>
      <c r="Z37" s="10"/>
      <c r="AA37" s="10">
        <f>F18+M18+T18+AA18+F35+M35+T35+AA35</f>
        <v>522.29999999999995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D171-276E-493A-8F07-5410494895B2}">
  <dimension ref="A1:AB38"/>
  <sheetViews>
    <sheetView workbookViewId="0">
      <selection activeCell="Q23" sqref="Q23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 t="s">
        <v>33</v>
      </c>
      <c r="P23" s="1">
        <v>10</v>
      </c>
      <c r="Q23" s="1">
        <v>1.52</v>
      </c>
      <c r="R23" s="1">
        <v>100</v>
      </c>
      <c r="S23" s="1">
        <v>100</v>
      </c>
      <c r="T23" s="1">
        <f>(R23+S23)*P23</f>
        <v>2000</v>
      </c>
      <c r="U23" s="1">
        <f>(T23*Q23)/10</f>
        <v>304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2000</v>
      </c>
      <c r="U33" s="3">
        <f>SUM(U23:U32)</f>
        <v>304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304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19" t="s">
        <v>15</v>
      </c>
      <c r="P35" s="19"/>
      <c r="Q35" s="6">
        <v>0.1</v>
      </c>
      <c r="R35" s="19">
        <f>U34/10</f>
        <v>30.4</v>
      </c>
      <c r="S35" s="19"/>
      <c r="T35" s="11">
        <f>U34+R33+R34+R35+R36</f>
        <v>334.4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2000</v>
      </c>
      <c r="Z37" s="10"/>
      <c r="AA37" s="10">
        <f>F18+M18+T18+AA18+F35+M35+T35+AA35</f>
        <v>334.4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3477-8DA4-414F-A1F6-8CFE073664E6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578B-C987-4D88-956C-FF9DF8DD582B}">
  <dimension ref="A1:AB38"/>
  <sheetViews>
    <sheetView workbookViewId="0">
      <selection activeCell="Q23" sqref="Q23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26</v>
      </c>
      <c r="B6" s="1">
        <v>10</v>
      </c>
      <c r="C6" s="1">
        <v>0.95</v>
      </c>
      <c r="D6" s="1">
        <v>10</v>
      </c>
      <c r="E6" s="1">
        <v>10</v>
      </c>
      <c r="F6" s="1">
        <f>(D6+E6)*B6</f>
        <v>200</v>
      </c>
      <c r="G6" s="1">
        <f>(F6*C6)/10</f>
        <v>19</v>
      </c>
      <c r="H6" s="1" t="s">
        <v>27</v>
      </c>
      <c r="I6" s="1">
        <v>160</v>
      </c>
      <c r="J6" s="1">
        <v>1.87</v>
      </c>
      <c r="K6" s="1">
        <v>4</v>
      </c>
      <c r="L6" s="1">
        <v>4</v>
      </c>
      <c r="M6" s="1">
        <f>(K6+L6)*I6</f>
        <v>1280</v>
      </c>
      <c r="N6" s="1">
        <f>(M6*J6)/10</f>
        <v>239.36000000000004</v>
      </c>
      <c r="O6" s="1" t="s">
        <v>19</v>
      </c>
      <c r="P6" s="1">
        <v>10</v>
      </c>
      <c r="Q6" s="1">
        <v>1.87</v>
      </c>
      <c r="R6" s="1">
        <v>100</v>
      </c>
      <c r="S6" s="1"/>
      <c r="T6" s="1">
        <f>(R6+S6)*P6</f>
        <v>1000</v>
      </c>
      <c r="U6" s="1">
        <f>(T6*Q6)/10</f>
        <v>187</v>
      </c>
      <c r="V6" s="1" t="s">
        <v>21</v>
      </c>
      <c r="W6" s="1">
        <v>104</v>
      </c>
      <c r="X6" s="1">
        <v>1.56</v>
      </c>
      <c r="Y6" s="1">
        <v>1</v>
      </c>
      <c r="Z6" s="1">
        <v>1</v>
      </c>
      <c r="AA6" s="1">
        <f>(Y6+Z6)*W6</f>
        <v>208</v>
      </c>
      <c r="AB6" s="1">
        <f>(AA6*X6)/10</f>
        <v>32.448</v>
      </c>
    </row>
    <row r="7" spans="1:28" x14ac:dyDescent="0.25">
      <c r="A7" s="1" t="s">
        <v>28</v>
      </c>
      <c r="B7" s="1">
        <v>10</v>
      </c>
      <c r="C7" s="1">
        <v>0.95</v>
      </c>
      <c r="D7" s="1">
        <v>10</v>
      </c>
      <c r="E7" s="1">
        <v>10</v>
      </c>
      <c r="F7" s="1">
        <f t="shared" ref="F7:F15" si="0">(D7+E7)*B7</f>
        <v>200</v>
      </c>
      <c r="G7" s="1">
        <f t="shared" ref="G7:G15" si="1">(F7*C7)/10</f>
        <v>19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 t="s">
        <v>34</v>
      </c>
      <c r="P7" s="1">
        <v>10</v>
      </c>
      <c r="Q7" s="1">
        <v>1.87</v>
      </c>
      <c r="R7" s="1">
        <v>50</v>
      </c>
      <c r="S7" s="1"/>
      <c r="T7" s="1">
        <f t="shared" ref="T7:T15" si="4">(R7+S7)*P7</f>
        <v>500</v>
      </c>
      <c r="U7" s="1">
        <f t="shared" ref="U7:U15" si="5">(T7*Q7)/10</f>
        <v>93.5</v>
      </c>
      <c r="V7" s="1" t="s">
        <v>22</v>
      </c>
      <c r="W7" s="1">
        <v>104</v>
      </c>
      <c r="X7" s="4">
        <v>1.56</v>
      </c>
      <c r="Y7" s="1">
        <v>1</v>
      </c>
      <c r="Z7" s="1">
        <v>1</v>
      </c>
      <c r="AA7" s="1">
        <f t="shared" ref="AA7:AA15" si="6">(Y7+Z7)*W7</f>
        <v>208</v>
      </c>
      <c r="AB7" s="1">
        <f t="shared" ref="AB7:AB15" si="7">(AA7*X7)/10</f>
        <v>32.448</v>
      </c>
    </row>
    <row r="8" spans="1:28" x14ac:dyDescent="0.25">
      <c r="A8" s="1" t="s">
        <v>29</v>
      </c>
      <c r="B8" s="1">
        <v>10</v>
      </c>
      <c r="C8" s="1">
        <v>0.95</v>
      </c>
      <c r="D8" s="1">
        <v>10</v>
      </c>
      <c r="E8" s="1">
        <v>10</v>
      </c>
      <c r="F8" s="1">
        <f t="shared" si="0"/>
        <v>200</v>
      </c>
      <c r="G8" s="1">
        <f t="shared" si="1"/>
        <v>19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 t="s">
        <v>23</v>
      </c>
      <c r="W8" s="1">
        <v>104</v>
      </c>
      <c r="X8" s="1">
        <v>1.56</v>
      </c>
      <c r="Y8" s="1">
        <v>1</v>
      </c>
      <c r="Z8" s="1">
        <v>1</v>
      </c>
      <c r="AA8" s="1">
        <f t="shared" si="6"/>
        <v>208</v>
      </c>
      <c r="AB8" s="1">
        <f t="shared" si="7"/>
        <v>32.448</v>
      </c>
    </row>
    <row r="9" spans="1:28" x14ac:dyDescent="0.25">
      <c r="A9" s="1" t="s">
        <v>26</v>
      </c>
      <c r="B9" s="1">
        <v>10</v>
      </c>
      <c r="C9" s="1">
        <v>1.59</v>
      </c>
      <c r="D9" s="1">
        <v>10</v>
      </c>
      <c r="E9" s="1">
        <v>5</v>
      </c>
      <c r="F9" s="1">
        <f t="shared" si="0"/>
        <v>150</v>
      </c>
      <c r="G9" s="1">
        <f t="shared" si="1"/>
        <v>23.85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 t="s">
        <v>24</v>
      </c>
      <c r="W9" s="1">
        <v>104</v>
      </c>
      <c r="X9" s="1">
        <v>1.56</v>
      </c>
      <c r="Y9" s="1">
        <v>1</v>
      </c>
      <c r="Z9" s="1">
        <v>1</v>
      </c>
      <c r="AA9" s="1">
        <f t="shared" si="6"/>
        <v>208</v>
      </c>
      <c r="AB9" s="1">
        <f t="shared" si="7"/>
        <v>32.448</v>
      </c>
    </row>
    <row r="10" spans="1:28" x14ac:dyDescent="0.25">
      <c r="A10" s="1" t="s">
        <v>28</v>
      </c>
      <c r="B10" s="1">
        <v>10</v>
      </c>
      <c r="C10" s="1">
        <v>1.59</v>
      </c>
      <c r="D10" s="1">
        <v>10</v>
      </c>
      <c r="E10" s="1">
        <v>5</v>
      </c>
      <c r="F10" s="1">
        <f t="shared" si="0"/>
        <v>150</v>
      </c>
      <c r="G10" s="1">
        <f t="shared" si="1"/>
        <v>23.85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 t="s">
        <v>29</v>
      </c>
      <c r="B11" s="1">
        <v>10</v>
      </c>
      <c r="C11" s="1">
        <v>1.59</v>
      </c>
      <c r="D11" s="1">
        <v>10</v>
      </c>
      <c r="E11" s="1">
        <v>5</v>
      </c>
      <c r="F11" s="1">
        <f t="shared" si="0"/>
        <v>150</v>
      </c>
      <c r="G11" s="1">
        <f t="shared" si="1"/>
        <v>23.85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 t="s">
        <v>25</v>
      </c>
      <c r="B12" s="1">
        <v>240</v>
      </c>
      <c r="C12" s="1">
        <v>1.59</v>
      </c>
      <c r="D12" s="1">
        <v>2</v>
      </c>
      <c r="E12" s="1"/>
      <c r="F12" s="1">
        <f t="shared" si="0"/>
        <v>480</v>
      </c>
      <c r="G12" s="1">
        <f t="shared" si="1"/>
        <v>76.320000000000007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1530</v>
      </c>
      <c r="G16" s="3">
        <f>SUM(G6:G15)</f>
        <v>204.87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1280</v>
      </c>
      <c r="N16" s="3">
        <f>SUM(N6:N15)</f>
        <v>239.36000000000004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1500</v>
      </c>
      <c r="U16" s="3">
        <f>SUM(U6:U15)</f>
        <v>280.5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832</v>
      </c>
      <c r="AB16" s="3">
        <f>SUM(AB6:AB15)</f>
        <v>129.792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334.83500000000004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179.52000000000004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210.375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129.792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418.54375000000005</v>
      </c>
      <c r="G18" s="11"/>
      <c r="H18" s="19" t="s">
        <v>15</v>
      </c>
      <c r="I18" s="19"/>
      <c r="J18" s="6">
        <v>0.1</v>
      </c>
      <c r="K18" s="19">
        <f>N17/10</f>
        <v>17.952000000000005</v>
      </c>
      <c r="L18" s="19"/>
      <c r="M18" s="11">
        <f>N17+K16+K17+K18+K19</f>
        <v>242.35200000000003</v>
      </c>
      <c r="N18" s="11"/>
      <c r="O18" s="19" t="s">
        <v>15</v>
      </c>
      <c r="P18" s="19"/>
      <c r="Q18" s="6">
        <v>0.1</v>
      </c>
      <c r="R18" s="19">
        <f>U17/10</f>
        <v>21.037500000000001</v>
      </c>
      <c r="S18" s="19"/>
      <c r="T18" s="11">
        <f>U17+R16+R17+R18+R19</f>
        <v>284.00625000000002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162.24</v>
      </c>
      <c r="AB18" s="11"/>
    </row>
    <row r="19" spans="1:28" x14ac:dyDescent="0.25">
      <c r="A19" s="18" t="s">
        <v>18</v>
      </c>
      <c r="B19" s="18"/>
      <c r="C19" s="7">
        <v>0.25</v>
      </c>
      <c r="D19" s="18">
        <f>G17/4</f>
        <v>83.708750000000009</v>
      </c>
      <c r="E19" s="18"/>
      <c r="F19" s="11"/>
      <c r="G19" s="11"/>
      <c r="H19" s="18" t="s">
        <v>18</v>
      </c>
      <c r="I19" s="18"/>
      <c r="J19" s="7">
        <v>0.25</v>
      </c>
      <c r="K19" s="18">
        <f>N17/4</f>
        <v>44.88000000000001</v>
      </c>
      <c r="L19" s="18"/>
      <c r="M19" s="11"/>
      <c r="N19" s="11"/>
      <c r="O19" s="18" t="s">
        <v>18</v>
      </c>
      <c r="P19" s="18"/>
      <c r="Q19" s="7">
        <v>0.25</v>
      </c>
      <c r="R19" s="18">
        <f>U17/4</f>
        <v>52.59375</v>
      </c>
      <c r="S19" s="18"/>
      <c r="T19" s="11"/>
      <c r="U19" s="11"/>
      <c r="V19" s="18" t="s">
        <v>18</v>
      </c>
      <c r="W19" s="18"/>
      <c r="X19" s="7">
        <v>0.25</v>
      </c>
      <c r="Y19" s="18">
        <f>AB17/4</f>
        <v>32.448</v>
      </c>
      <c r="Z19" s="1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 t="s">
        <v>21</v>
      </c>
      <c r="B23" s="1">
        <v>104</v>
      </c>
      <c r="C23" s="1">
        <v>2.14</v>
      </c>
      <c r="D23" s="1">
        <v>1</v>
      </c>
      <c r="E23" s="1">
        <v>1</v>
      </c>
      <c r="F23" s="1">
        <f>(D23+E23)*B23</f>
        <v>208</v>
      </c>
      <c r="G23" s="1">
        <f>(F23*C23)/10</f>
        <v>44.512</v>
      </c>
      <c r="H23" s="1" t="s">
        <v>21</v>
      </c>
      <c r="I23" s="1">
        <v>104</v>
      </c>
      <c r="J23" s="1">
        <v>2.2599999999999998</v>
      </c>
      <c r="K23" s="1">
        <v>1</v>
      </c>
      <c r="L23" s="1">
        <v>1</v>
      </c>
      <c r="M23" s="1">
        <f>(K23+L23)*I23</f>
        <v>208</v>
      </c>
      <c r="N23" s="1">
        <f>(M23*J23)/10</f>
        <v>47.007999999999996</v>
      </c>
      <c r="O23" s="1" t="s">
        <v>32</v>
      </c>
      <c r="P23" s="1">
        <v>8</v>
      </c>
      <c r="Q23" s="1">
        <v>1.52</v>
      </c>
      <c r="R23" s="1">
        <v>100</v>
      </c>
      <c r="S23" s="1">
        <v>100</v>
      </c>
      <c r="T23" s="1">
        <f>(R23+S23)*P23</f>
        <v>1600</v>
      </c>
      <c r="U23" s="1">
        <f>(T23*Q23)/10</f>
        <v>243.2</v>
      </c>
      <c r="V23" s="1" t="s">
        <v>31</v>
      </c>
      <c r="W23" s="1">
        <v>40</v>
      </c>
      <c r="X23" s="1">
        <v>5.58</v>
      </c>
      <c r="Y23" s="1">
        <v>10</v>
      </c>
      <c r="Z23" s="1"/>
      <c r="AA23" s="1">
        <f>(Y23+Z23)*W23</f>
        <v>400</v>
      </c>
      <c r="AB23" s="1">
        <f>(AA23*X23)/10</f>
        <v>223.2</v>
      </c>
    </row>
    <row r="24" spans="1:28" x14ac:dyDescent="0.25">
      <c r="A24" s="1" t="s">
        <v>22</v>
      </c>
      <c r="B24" s="1">
        <v>104</v>
      </c>
      <c r="C24" s="4">
        <v>2.14</v>
      </c>
      <c r="D24" s="1">
        <v>1</v>
      </c>
      <c r="E24" s="1">
        <v>1</v>
      </c>
      <c r="F24" s="1">
        <f t="shared" ref="F24:F32" si="8">(D24+E24)*B24</f>
        <v>208</v>
      </c>
      <c r="G24" s="1">
        <f t="shared" ref="G24:G32" si="9">(F24*C24)/10</f>
        <v>44.512</v>
      </c>
      <c r="H24" s="1" t="s">
        <v>22</v>
      </c>
      <c r="I24" s="1">
        <v>104</v>
      </c>
      <c r="J24" s="1">
        <v>2.2599999999999998</v>
      </c>
      <c r="K24" s="1">
        <v>1</v>
      </c>
      <c r="L24" s="1">
        <v>1</v>
      </c>
      <c r="M24" s="1">
        <f t="shared" ref="M24:M32" si="10">(K24+L24)*I24</f>
        <v>208</v>
      </c>
      <c r="N24" s="1">
        <f t="shared" ref="N24:N32" si="11">(M24*J24)/10</f>
        <v>47.007999999999996</v>
      </c>
      <c r="O24" s="1" t="s">
        <v>33</v>
      </c>
      <c r="P24" s="1">
        <v>10</v>
      </c>
      <c r="Q24" s="1">
        <v>1.52</v>
      </c>
      <c r="R24" s="1">
        <v>100</v>
      </c>
      <c r="S24" s="1">
        <v>100</v>
      </c>
      <c r="T24" s="1">
        <f t="shared" ref="T24:T32" si="12">(R24+S24)*P24</f>
        <v>2000</v>
      </c>
      <c r="U24" s="1">
        <f t="shared" ref="U24:U32" si="13">(T24*Q24)/10</f>
        <v>304</v>
      </c>
      <c r="V24" s="1" t="s">
        <v>31</v>
      </c>
      <c r="W24" s="1">
        <v>48</v>
      </c>
      <c r="X24" s="1">
        <v>5.58</v>
      </c>
      <c r="Y24" s="1">
        <v>10</v>
      </c>
      <c r="Z24" s="1"/>
      <c r="AA24" s="1">
        <f t="shared" ref="AA24:AA32" si="14">(Y24+Z24)*W24</f>
        <v>480</v>
      </c>
      <c r="AB24" s="1">
        <f t="shared" ref="AB24:AB32" si="15">(AA24*X24)/10</f>
        <v>267.84000000000003</v>
      </c>
    </row>
    <row r="25" spans="1:28" x14ac:dyDescent="0.25">
      <c r="A25" s="1" t="s">
        <v>23</v>
      </c>
      <c r="B25" s="1">
        <v>104</v>
      </c>
      <c r="C25" s="1">
        <v>2.14</v>
      </c>
      <c r="D25" s="1">
        <v>1</v>
      </c>
      <c r="E25" s="1">
        <v>1</v>
      </c>
      <c r="F25" s="1">
        <f t="shared" si="8"/>
        <v>208</v>
      </c>
      <c r="G25" s="1">
        <f t="shared" si="9"/>
        <v>44.512</v>
      </c>
      <c r="H25" s="1" t="s">
        <v>23</v>
      </c>
      <c r="I25" s="1">
        <v>104</v>
      </c>
      <c r="J25" s="1">
        <v>2.2599999999999998</v>
      </c>
      <c r="K25" s="1">
        <v>1</v>
      </c>
      <c r="L25" s="1">
        <v>1</v>
      </c>
      <c r="M25" s="1">
        <f t="shared" si="10"/>
        <v>208</v>
      </c>
      <c r="N25" s="1">
        <f t="shared" si="11"/>
        <v>47.007999999999996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 t="s">
        <v>24</v>
      </c>
      <c r="B26" s="1">
        <v>104</v>
      </c>
      <c r="C26" s="1">
        <v>2.14</v>
      </c>
      <c r="D26" s="1">
        <v>1</v>
      </c>
      <c r="E26" s="1">
        <v>1</v>
      </c>
      <c r="F26" s="1">
        <f t="shared" si="8"/>
        <v>208</v>
      </c>
      <c r="G26" s="1">
        <f t="shared" si="9"/>
        <v>44.512</v>
      </c>
      <c r="H26" s="1" t="s">
        <v>24</v>
      </c>
      <c r="I26" s="1">
        <v>104</v>
      </c>
      <c r="J26" s="1">
        <v>2.2599999999999998</v>
      </c>
      <c r="K26" s="1">
        <v>1</v>
      </c>
      <c r="L26" s="1">
        <v>1</v>
      </c>
      <c r="M26" s="1">
        <f t="shared" si="10"/>
        <v>208</v>
      </c>
      <c r="N26" s="1">
        <f t="shared" si="11"/>
        <v>47.007999999999996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832</v>
      </c>
      <c r="G33" s="3">
        <f>SUM(G23:G32)</f>
        <v>178.048</v>
      </c>
      <c r="H33" s="15" t="s">
        <v>17</v>
      </c>
      <c r="I33" s="15"/>
      <c r="J33" s="5">
        <v>0.1</v>
      </c>
      <c r="K33" s="15">
        <f>N34/10</f>
        <v>18.803199999999997</v>
      </c>
      <c r="L33" s="15"/>
      <c r="M33" s="12">
        <f>SUM(M23:M32)</f>
        <v>832</v>
      </c>
      <c r="N33" s="3">
        <f>SUM(N23:N32)</f>
        <v>188.03199999999998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3600</v>
      </c>
      <c r="U33" s="3">
        <f>SUM(U23:U32)</f>
        <v>547.20000000000005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880</v>
      </c>
      <c r="AB33" s="3">
        <f>SUM(AB23:AB32)</f>
        <v>491.04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178.048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188.03199999999998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669.96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368.28000000000003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222.56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253.84319999999997</v>
      </c>
      <c r="N35" s="11"/>
      <c r="O35" s="19" t="s">
        <v>15</v>
      </c>
      <c r="P35" s="19"/>
      <c r="Q35" s="6">
        <v>0.1</v>
      </c>
      <c r="R35" s="19">
        <f>U34/10</f>
        <v>66.996000000000009</v>
      </c>
      <c r="S35" s="19"/>
      <c r="T35" s="11">
        <f>U34+R33+R34+R35+R36</f>
        <v>904.44600000000003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460.35</v>
      </c>
      <c r="AB35" s="11"/>
    </row>
    <row r="36" spans="1:28" x14ac:dyDescent="0.25">
      <c r="A36" s="18" t="s">
        <v>18</v>
      </c>
      <c r="B36" s="18"/>
      <c r="C36" s="7">
        <v>0.25</v>
      </c>
      <c r="D36" s="18">
        <f>G34/4</f>
        <v>44.512</v>
      </c>
      <c r="E36" s="18"/>
      <c r="F36" s="11"/>
      <c r="G36" s="11"/>
      <c r="H36" s="18" t="s">
        <v>18</v>
      </c>
      <c r="I36" s="18"/>
      <c r="J36" s="7">
        <v>0.25</v>
      </c>
      <c r="K36" s="18">
        <f>N34/4</f>
        <v>47.007999999999996</v>
      </c>
      <c r="L36" s="18"/>
      <c r="M36" s="11"/>
      <c r="N36" s="11"/>
      <c r="O36" s="18" t="s">
        <v>18</v>
      </c>
      <c r="P36" s="18"/>
      <c r="Q36" s="7">
        <v>0.25</v>
      </c>
      <c r="R36" s="18">
        <f>U34/4</f>
        <v>167.49</v>
      </c>
      <c r="S36" s="18"/>
      <c r="T36" s="11"/>
      <c r="U36" s="11"/>
      <c r="V36" s="18" t="s">
        <v>18</v>
      </c>
      <c r="W36" s="18"/>
      <c r="X36" s="7">
        <v>0.25</v>
      </c>
      <c r="Y36" s="18">
        <f>AB34/4</f>
        <v>92.070000000000007</v>
      </c>
      <c r="Z36" s="1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11286</v>
      </c>
      <c r="Z37" s="10"/>
      <c r="AA37" s="10">
        <f>F18+M18+T18+AA18+F35+M35+T35+AA35</f>
        <v>2948.3412000000003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86E3-C19C-4C4F-AD25-2FF6CDCD7508}">
  <dimension ref="A1:AB38"/>
  <sheetViews>
    <sheetView workbookViewId="0">
      <selection activeCell="D23" sqref="D23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 t="s">
        <v>21</v>
      </c>
      <c r="B23" s="1">
        <v>104</v>
      </c>
      <c r="C23" s="1">
        <v>2.14</v>
      </c>
      <c r="D23" s="1">
        <v>2</v>
      </c>
      <c r="E23" s="1">
        <v>2</v>
      </c>
      <c r="F23" s="1">
        <f>(D23+E23)*B23</f>
        <v>416</v>
      </c>
      <c r="G23" s="1">
        <f>(F23*C23)/10</f>
        <v>89.024000000000001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 t="s">
        <v>22</v>
      </c>
      <c r="B24" s="1">
        <v>104</v>
      </c>
      <c r="C24" s="4">
        <v>2.14</v>
      </c>
      <c r="D24" s="1">
        <v>2</v>
      </c>
      <c r="E24" s="1">
        <v>2</v>
      </c>
      <c r="F24" s="1">
        <f t="shared" ref="F24:F32" si="8">(D24+E24)*B24</f>
        <v>416</v>
      </c>
      <c r="G24" s="1">
        <f t="shared" ref="G24:G32" si="9">(F24*C24)/10</f>
        <v>89.024000000000001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 t="s">
        <v>23</v>
      </c>
      <c r="B25" s="1">
        <v>104</v>
      </c>
      <c r="C25" s="1">
        <v>2.14</v>
      </c>
      <c r="D25" s="1">
        <v>2</v>
      </c>
      <c r="E25" s="1">
        <v>2</v>
      </c>
      <c r="F25" s="1">
        <f t="shared" si="8"/>
        <v>416</v>
      </c>
      <c r="G25" s="1">
        <f t="shared" si="9"/>
        <v>89.024000000000001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 t="s">
        <v>24</v>
      </c>
      <c r="B26" s="1">
        <v>104</v>
      </c>
      <c r="C26" s="1">
        <v>2.14</v>
      </c>
      <c r="D26" s="1">
        <v>2</v>
      </c>
      <c r="E26" s="1">
        <v>2</v>
      </c>
      <c r="F26" s="1">
        <f t="shared" si="8"/>
        <v>416</v>
      </c>
      <c r="G26" s="1">
        <f t="shared" si="9"/>
        <v>89.024000000000001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1664</v>
      </c>
      <c r="G33" s="3">
        <f>SUM(G23:G32)</f>
        <v>356.096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356.096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356.096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1664</v>
      </c>
      <c r="Z37" s="10"/>
      <c r="AA37" s="10">
        <f>F18+M18+T18+AA18+F35+M35+T35+AA35</f>
        <v>356.096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471E-6FDD-4841-AACF-B6683DF22E55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D96-6687-459B-A25A-9E3D12C16824}">
  <dimension ref="A1:AB38"/>
  <sheetViews>
    <sheetView workbookViewId="0">
      <selection activeCell="A35" sqref="A35:E35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27</v>
      </c>
      <c r="B6" s="1">
        <v>1</v>
      </c>
      <c r="C6" s="1">
        <v>1.06</v>
      </c>
      <c r="D6" s="1">
        <v>250</v>
      </c>
      <c r="E6" s="1">
        <v>250</v>
      </c>
      <c r="F6" s="1">
        <f>(D6+E6)*B6</f>
        <v>500</v>
      </c>
      <c r="G6" s="1">
        <f>(F6*C6)/10</f>
        <v>53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500</v>
      </c>
      <c r="G16" s="3">
        <f>SUM(G6:G15)</f>
        <v>53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53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19" t="s">
        <v>15</v>
      </c>
      <c r="B18" s="19"/>
      <c r="C18" s="6">
        <v>0.1</v>
      </c>
      <c r="D18" s="19">
        <f>G17/10</f>
        <v>5.3</v>
      </c>
      <c r="E18" s="19"/>
      <c r="F18" s="11">
        <f>G17+D16+D17+D18+D19</f>
        <v>58.3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 t="s">
        <v>21</v>
      </c>
      <c r="B23" s="1">
        <v>104</v>
      </c>
      <c r="C23" s="1">
        <v>2.14</v>
      </c>
      <c r="D23" s="1">
        <v>2</v>
      </c>
      <c r="E23" s="1">
        <v>2</v>
      </c>
      <c r="F23" s="1">
        <f>(D23+E23)*B23</f>
        <v>416</v>
      </c>
      <c r="G23" s="1">
        <f>(F23*C23)/10</f>
        <v>89.024000000000001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 t="s">
        <v>22</v>
      </c>
      <c r="B24" s="1">
        <v>104</v>
      </c>
      <c r="C24" s="1">
        <v>2.14</v>
      </c>
      <c r="D24" s="1">
        <v>2</v>
      </c>
      <c r="E24" s="1">
        <v>2</v>
      </c>
      <c r="F24" s="1">
        <f t="shared" ref="F24:F32" si="8">(D24+E24)*B24</f>
        <v>416</v>
      </c>
      <c r="G24" s="1">
        <f t="shared" ref="G24:G32" si="9">(F24*C24)/10</f>
        <v>89.024000000000001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 t="s">
        <v>23</v>
      </c>
      <c r="B25" s="1">
        <v>104</v>
      </c>
      <c r="C25" s="1">
        <v>2.14</v>
      </c>
      <c r="D25" s="1">
        <v>2</v>
      </c>
      <c r="E25" s="1">
        <v>2</v>
      </c>
      <c r="F25" s="1">
        <f t="shared" si="8"/>
        <v>416</v>
      </c>
      <c r="G25" s="1">
        <f t="shared" si="9"/>
        <v>89.024000000000001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 t="s">
        <v>24</v>
      </c>
      <c r="B26" s="1">
        <v>104</v>
      </c>
      <c r="C26" s="1">
        <v>2.14</v>
      </c>
      <c r="D26" s="1">
        <v>2</v>
      </c>
      <c r="E26" s="1">
        <v>2</v>
      </c>
      <c r="F26" s="1">
        <f t="shared" si="8"/>
        <v>416</v>
      </c>
      <c r="G26" s="1">
        <f t="shared" si="9"/>
        <v>89.024000000000001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 t="s">
        <v>26</v>
      </c>
      <c r="B27" s="1">
        <v>15</v>
      </c>
      <c r="C27" s="1">
        <v>2.14</v>
      </c>
      <c r="D27" s="1">
        <v>20</v>
      </c>
      <c r="E27" s="1"/>
      <c r="F27" s="1">
        <f t="shared" si="8"/>
        <v>300</v>
      </c>
      <c r="G27" s="1">
        <f t="shared" si="9"/>
        <v>64.2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1964</v>
      </c>
      <c r="G33" s="3">
        <f>SUM(G23:G32)</f>
        <v>420.29599999999999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420.29599999999999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19" t="s">
        <v>15</v>
      </c>
      <c r="B35" s="19"/>
      <c r="C35" s="6">
        <v>0.1</v>
      </c>
      <c r="D35" s="19">
        <f>G34/10</f>
        <v>42.029600000000002</v>
      </c>
      <c r="E35" s="19"/>
      <c r="F35" s="11">
        <f>G34+D33+D34+D35+D36</f>
        <v>462.32560000000001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2464</v>
      </c>
      <c r="Z37" s="10"/>
      <c r="AA37" s="10">
        <f>F18+M18+T18+AA18+F35+M35+T35+AA35</f>
        <v>520.62559999999996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8653-8392-42A6-BFD8-BC4DBF852DF3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34CB-5EB3-4C00-8E1D-D60F7A18C5C9}">
  <dimension ref="A1:AB38"/>
  <sheetViews>
    <sheetView workbookViewId="0">
      <selection activeCell="D24" sqref="D24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 t="s">
        <v>21</v>
      </c>
      <c r="B23" s="1">
        <v>104</v>
      </c>
      <c r="C23" s="1">
        <v>2.14</v>
      </c>
      <c r="D23" s="1">
        <v>4</v>
      </c>
      <c r="E23" s="1">
        <v>4</v>
      </c>
      <c r="F23" s="1">
        <f>(D23+E23)*B23</f>
        <v>832</v>
      </c>
      <c r="G23" s="1">
        <f>(F23*C23)/10</f>
        <v>178.048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 t="s">
        <v>22</v>
      </c>
      <c r="B24" s="1">
        <v>104</v>
      </c>
      <c r="C24" s="4">
        <v>2.14</v>
      </c>
      <c r="D24" s="1">
        <v>3</v>
      </c>
      <c r="E24" s="1">
        <v>3</v>
      </c>
      <c r="F24" s="1">
        <f t="shared" ref="F24:F32" si="8">(D24+E24)*B24</f>
        <v>624</v>
      </c>
      <c r="G24" s="1">
        <f t="shared" ref="G24:G32" si="9">(F24*C24)/10</f>
        <v>133.536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 t="s">
        <v>23</v>
      </c>
      <c r="B25" s="1">
        <v>104</v>
      </c>
      <c r="C25" s="1">
        <v>2.14</v>
      </c>
      <c r="D25" s="1">
        <v>3</v>
      </c>
      <c r="E25" s="1">
        <v>3</v>
      </c>
      <c r="F25" s="1">
        <f t="shared" si="8"/>
        <v>624</v>
      </c>
      <c r="G25" s="1">
        <f t="shared" si="9"/>
        <v>133.536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 t="s">
        <v>24</v>
      </c>
      <c r="B26" s="1">
        <v>104</v>
      </c>
      <c r="C26" s="1">
        <v>2.14</v>
      </c>
      <c r="D26" s="1">
        <v>3</v>
      </c>
      <c r="E26" s="1">
        <v>3</v>
      </c>
      <c r="F26" s="1">
        <f t="shared" si="8"/>
        <v>624</v>
      </c>
      <c r="G26" s="1">
        <f t="shared" si="9"/>
        <v>133.536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2704</v>
      </c>
      <c r="G33" s="3">
        <f>SUM(G23:G32)</f>
        <v>578.65599999999995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578.65599999999995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19" t="s">
        <v>15</v>
      </c>
      <c r="B35" s="19"/>
      <c r="C35" s="6">
        <v>0.1</v>
      </c>
      <c r="D35" s="19">
        <f>G34/10</f>
        <v>57.865599999999993</v>
      </c>
      <c r="E35" s="19"/>
      <c r="F35" s="11">
        <f>G34+D33+D34+D35+D36</f>
        <v>636.52159999999992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2704</v>
      </c>
      <c r="Z37" s="10"/>
      <c r="AA37" s="10">
        <f>F18+M18+T18+AA18+F35+M35+T35+AA35</f>
        <v>636.52159999999992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39B7-7952-42D3-B23C-C8FAAABE9EF5}">
  <dimension ref="A1:AB38"/>
  <sheetViews>
    <sheetView workbookViewId="0">
      <selection activeCell="V6" sqref="V6:X6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25</v>
      </c>
      <c r="B6" s="1">
        <v>240</v>
      </c>
      <c r="C6" s="1">
        <v>1.59</v>
      </c>
      <c r="D6" s="1">
        <v>2</v>
      </c>
      <c r="E6" s="1">
        <v>2</v>
      </c>
      <c r="F6" s="1">
        <f>(D6+E6)*B6</f>
        <v>960</v>
      </c>
      <c r="G6" s="1">
        <f>(F6*C6)/10</f>
        <v>152.64000000000001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 t="s">
        <v>36</v>
      </c>
      <c r="P6" s="1">
        <v>10</v>
      </c>
      <c r="Q6" s="1">
        <v>1.87</v>
      </c>
      <c r="R6" s="1">
        <v>10</v>
      </c>
      <c r="S6" s="1"/>
      <c r="T6" s="1">
        <f>(R6+S6)*P6</f>
        <v>100</v>
      </c>
      <c r="U6" s="1">
        <f>(T6*Q6)/10</f>
        <v>18.7</v>
      </c>
      <c r="V6" s="1" t="s">
        <v>35</v>
      </c>
      <c r="W6" s="1">
        <v>72</v>
      </c>
      <c r="X6" s="1">
        <v>1.56</v>
      </c>
      <c r="Y6" s="1">
        <v>20</v>
      </c>
      <c r="Z6" s="1">
        <v>20</v>
      </c>
      <c r="AA6" s="1">
        <f>(Y6+Z6)*W6</f>
        <v>2880</v>
      </c>
      <c r="AB6" s="1">
        <f>(AA6*X6)/10</f>
        <v>449.28000000000003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 t="s">
        <v>37</v>
      </c>
      <c r="P7" s="1">
        <v>15</v>
      </c>
      <c r="Q7" s="1">
        <v>1.87</v>
      </c>
      <c r="R7" s="1">
        <v>10</v>
      </c>
      <c r="S7" s="1"/>
      <c r="T7" s="1">
        <f t="shared" ref="T7:T15" si="4">(R7+S7)*P7</f>
        <v>150</v>
      </c>
      <c r="U7" s="1">
        <f t="shared" ref="U7:U15" si="5">(T7*Q7)/10</f>
        <v>28.05</v>
      </c>
      <c r="V7" s="1" t="s">
        <v>35</v>
      </c>
      <c r="W7" s="1">
        <v>140</v>
      </c>
      <c r="X7" s="1">
        <v>1.56</v>
      </c>
      <c r="Y7" s="1">
        <v>20</v>
      </c>
      <c r="Z7" s="1">
        <v>20</v>
      </c>
      <c r="AA7" s="1">
        <f t="shared" ref="AA7:AA15" si="6">(Y7+Z7)*W7</f>
        <v>5600</v>
      </c>
      <c r="AB7" s="1">
        <f t="shared" ref="AB7:AB15" si="7">(AA7*X7)/10</f>
        <v>873.6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 t="s">
        <v>19</v>
      </c>
      <c r="P8" s="1">
        <v>10</v>
      </c>
      <c r="Q8" s="1">
        <v>1.87</v>
      </c>
      <c r="R8" s="1">
        <v>10</v>
      </c>
      <c r="S8" s="1"/>
      <c r="T8" s="1">
        <f t="shared" si="4"/>
        <v>100</v>
      </c>
      <c r="U8" s="1">
        <f t="shared" si="5"/>
        <v>18.7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 t="s">
        <v>20</v>
      </c>
      <c r="P9" s="1">
        <v>15</v>
      </c>
      <c r="Q9" s="1">
        <v>1.87</v>
      </c>
      <c r="R9" s="1">
        <v>10</v>
      </c>
      <c r="S9" s="1"/>
      <c r="T9" s="1">
        <f t="shared" si="4"/>
        <v>150</v>
      </c>
      <c r="U9" s="1">
        <f t="shared" si="5"/>
        <v>28.05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 t="s">
        <v>38</v>
      </c>
      <c r="P10" s="1">
        <v>30</v>
      </c>
      <c r="Q10" s="1">
        <v>1.87</v>
      </c>
      <c r="R10" s="1">
        <v>10</v>
      </c>
      <c r="S10" s="1"/>
      <c r="T10" s="1">
        <f t="shared" si="4"/>
        <v>300</v>
      </c>
      <c r="U10" s="1">
        <f t="shared" si="5"/>
        <v>56.1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 t="s">
        <v>34</v>
      </c>
      <c r="P11" s="1">
        <v>10</v>
      </c>
      <c r="Q11" s="1">
        <v>1.87</v>
      </c>
      <c r="R11" s="1">
        <v>10</v>
      </c>
      <c r="S11" s="1"/>
      <c r="T11" s="1">
        <f t="shared" si="4"/>
        <v>100</v>
      </c>
      <c r="U11" s="1">
        <f t="shared" si="5"/>
        <v>18.7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 t="s">
        <v>39</v>
      </c>
      <c r="P12" s="1">
        <v>15</v>
      </c>
      <c r="Q12" s="1">
        <v>1.87</v>
      </c>
      <c r="R12" s="1">
        <v>10</v>
      </c>
      <c r="S12" s="1"/>
      <c r="T12" s="1">
        <f t="shared" si="4"/>
        <v>150</v>
      </c>
      <c r="U12" s="1">
        <f t="shared" si="5"/>
        <v>28.05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 t="s">
        <v>40</v>
      </c>
      <c r="P13" s="1">
        <v>45</v>
      </c>
      <c r="Q13" s="1">
        <v>1.87</v>
      </c>
      <c r="R13" s="1">
        <v>10</v>
      </c>
      <c r="S13" s="1"/>
      <c r="T13" s="1">
        <f t="shared" si="4"/>
        <v>450</v>
      </c>
      <c r="U13" s="1">
        <f t="shared" si="5"/>
        <v>84.15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960</v>
      </c>
      <c r="G16" s="3">
        <f>SUM(G6:G15)</f>
        <v>152.64000000000001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1500</v>
      </c>
      <c r="U16" s="3">
        <f>SUM(U6:U15)</f>
        <v>280.5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8480</v>
      </c>
      <c r="AB16" s="3">
        <f>SUM(AB6:AB15)</f>
        <v>1322.88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222.76500000000001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210.375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1322.88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222.76500000000001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210.375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1322.88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10940</v>
      </c>
      <c r="Z37" s="10"/>
      <c r="AA37" s="10">
        <f>F18+M18+T18+AA18+F35+M35+T35+AA35</f>
        <v>1756.02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9B45-D11D-44F6-8002-EBD0DED8405E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89C1-29CD-46B1-AAE1-D4639AE81861}">
  <dimension ref="A1:AB38"/>
  <sheetViews>
    <sheetView workbookViewId="0">
      <selection activeCell="A6" sqref="A6:B11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27</v>
      </c>
      <c r="B6" s="1">
        <v>5</v>
      </c>
      <c r="C6" s="1">
        <v>0.95</v>
      </c>
      <c r="D6" s="1">
        <v>100</v>
      </c>
      <c r="E6" s="1">
        <v>100</v>
      </c>
      <c r="F6" s="1">
        <f>(D6+E6)*B6</f>
        <v>1000</v>
      </c>
      <c r="G6" s="1">
        <f>(F6*C6)/10</f>
        <v>95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 t="s">
        <v>41</v>
      </c>
      <c r="B7" s="1">
        <v>5</v>
      </c>
      <c r="C7" s="1">
        <v>0.95</v>
      </c>
      <c r="D7" s="1">
        <v>100</v>
      </c>
      <c r="E7" s="1">
        <v>100</v>
      </c>
      <c r="F7" s="1">
        <f t="shared" ref="F7:F15" si="0">(D7+E7)*B7</f>
        <v>1000</v>
      </c>
      <c r="G7" s="1">
        <f t="shared" ref="G7:G15" si="1">(F7*C7)/10</f>
        <v>95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 t="s">
        <v>21</v>
      </c>
      <c r="B8" s="1">
        <v>5</v>
      </c>
      <c r="C8" s="1">
        <v>0.95</v>
      </c>
      <c r="D8" s="1">
        <v>30</v>
      </c>
      <c r="E8" s="1">
        <v>30</v>
      </c>
      <c r="F8" s="1">
        <f t="shared" si="0"/>
        <v>300</v>
      </c>
      <c r="G8" s="1">
        <f t="shared" si="1"/>
        <v>28.5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 t="s">
        <v>22</v>
      </c>
      <c r="B9" s="1">
        <v>5</v>
      </c>
      <c r="C9" s="1">
        <v>0.95</v>
      </c>
      <c r="D9" s="1">
        <v>30</v>
      </c>
      <c r="E9" s="1">
        <v>30</v>
      </c>
      <c r="F9" s="1">
        <f t="shared" si="0"/>
        <v>300</v>
      </c>
      <c r="G9" s="1">
        <f t="shared" si="1"/>
        <v>28.5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 t="s">
        <v>23</v>
      </c>
      <c r="B10" s="1">
        <v>5</v>
      </c>
      <c r="C10" s="1">
        <v>0.95</v>
      </c>
      <c r="D10" s="1">
        <v>30</v>
      </c>
      <c r="E10" s="1">
        <v>30</v>
      </c>
      <c r="F10" s="1">
        <f t="shared" si="0"/>
        <v>300</v>
      </c>
      <c r="G10" s="1">
        <f t="shared" si="1"/>
        <v>28.5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 t="s">
        <v>24</v>
      </c>
      <c r="B11" s="1">
        <v>5</v>
      </c>
      <c r="C11" s="1">
        <v>0.95</v>
      </c>
      <c r="D11" s="1">
        <v>30</v>
      </c>
      <c r="E11" s="1">
        <v>30</v>
      </c>
      <c r="F11" s="1">
        <f t="shared" si="0"/>
        <v>300</v>
      </c>
      <c r="G11" s="1">
        <f t="shared" si="1"/>
        <v>28.5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3200</v>
      </c>
      <c r="G16" s="3">
        <f>SUM(G6:G15)</f>
        <v>304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304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304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3200</v>
      </c>
      <c r="Z37" s="10"/>
      <c r="AA37" s="10">
        <f>F18+M18+T18+AA18+F35+M35+T35+AA35</f>
        <v>304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3ED6-5F5F-4996-8DC5-1319B22BB423}">
  <dimension ref="A1:AB38"/>
  <sheetViews>
    <sheetView workbookViewId="0">
      <selection activeCell="T18" sqref="T18:U19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27</v>
      </c>
      <c r="B6" s="1">
        <v>5</v>
      </c>
      <c r="C6" s="1">
        <v>1.1200000000000001</v>
      </c>
      <c r="D6" s="1">
        <v>10</v>
      </c>
      <c r="E6" s="1">
        <v>10</v>
      </c>
      <c r="F6" s="1">
        <f>(D6+E6)*B6</f>
        <v>100</v>
      </c>
      <c r="G6" s="1">
        <f>(F6*C6)/10</f>
        <v>11.200000000000001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 t="s">
        <v>36</v>
      </c>
      <c r="P6" s="1">
        <v>10</v>
      </c>
      <c r="Q6" s="1">
        <v>2.2799999999999998</v>
      </c>
      <c r="R6" s="1">
        <v>10</v>
      </c>
      <c r="S6" s="1"/>
      <c r="T6" s="1">
        <f>(R6+S6)*P6</f>
        <v>100</v>
      </c>
      <c r="U6" s="1">
        <f>(T6*Q6)/10</f>
        <v>22.799999999999997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 t="s">
        <v>41</v>
      </c>
      <c r="B7" s="1">
        <v>5</v>
      </c>
      <c r="C7" s="1">
        <v>1.1200000000000001</v>
      </c>
      <c r="D7" s="1">
        <v>10</v>
      </c>
      <c r="E7" s="1">
        <v>10</v>
      </c>
      <c r="F7" s="1">
        <f t="shared" ref="F7:F15" si="0">(D7+E7)*B7</f>
        <v>100</v>
      </c>
      <c r="G7" s="1">
        <f t="shared" ref="G7:G15" si="1">(F7*C7)/10</f>
        <v>11.200000000000001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 t="s">
        <v>37</v>
      </c>
      <c r="P7" s="1">
        <v>15</v>
      </c>
      <c r="Q7" s="1">
        <v>2.2799999999999998</v>
      </c>
      <c r="R7" s="1">
        <v>10</v>
      </c>
      <c r="S7" s="1"/>
      <c r="T7" s="1">
        <f t="shared" ref="T7:T15" si="4">(R7+S7)*P7</f>
        <v>150</v>
      </c>
      <c r="U7" s="1">
        <f t="shared" ref="U7:U15" si="5">(T7*Q7)/10</f>
        <v>34.199999999999996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 t="s">
        <v>19</v>
      </c>
      <c r="P8" s="1">
        <v>10</v>
      </c>
      <c r="Q8" s="1">
        <v>2.2799999999999998</v>
      </c>
      <c r="R8" s="1">
        <v>10</v>
      </c>
      <c r="S8" s="1"/>
      <c r="T8" s="1">
        <f t="shared" si="4"/>
        <v>100</v>
      </c>
      <c r="U8" s="1">
        <f t="shared" si="5"/>
        <v>22.799999999999997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 t="s">
        <v>20</v>
      </c>
      <c r="P9" s="1">
        <v>15</v>
      </c>
      <c r="Q9" s="1">
        <v>2.2799999999999998</v>
      </c>
      <c r="R9" s="1">
        <v>10</v>
      </c>
      <c r="S9" s="1"/>
      <c r="T9" s="1">
        <f t="shared" si="4"/>
        <v>150</v>
      </c>
      <c r="U9" s="1">
        <f t="shared" si="5"/>
        <v>34.199999999999996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 t="s">
        <v>38</v>
      </c>
      <c r="P10" s="1">
        <v>30</v>
      </c>
      <c r="Q10" s="1">
        <v>2.2799999999999998</v>
      </c>
      <c r="R10" s="1">
        <v>10</v>
      </c>
      <c r="S10" s="1"/>
      <c r="T10" s="1">
        <f t="shared" si="4"/>
        <v>300</v>
      </c>
      <c r="U10" s="1">
        <f t="shared" si="5"/>
        <v>68.399999999999991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 t="s">
        <v>34</v>
      </c>
      <c r="P11" s="1">
        <v>10</v>
      </c>
      <c r="Q11" s="1">
        <v>2.2799999999999998</v>
      </c>
      <c r="R11" s="1">
        <v>10</v>
      </c>
      <c r="S11" s="1"/>
      <c r="T11" s="1">
        <f t="shared" si="4"/>
        <v>100</v>
      </c>
      <c r="U11" s="1">
        <f t="shared" si="5"/>
        <v>22.799999999999997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 t="s">
        <v>39</v>
      </c>
      <c r="P12" s="1">
        <v>15</v>
      </c>
      <c r="Q12" s="1">
        <v>2.2799999999999998</v>
      </c>
      <c r="R12" s="1">
        <v>10</v>
      </c>
      <c r="S12" s="1"/>
      <c r="T12" s="1">
        <f t="shared" si="4"/>
        <v>150</v>
      </c>
      <c r="U12" s="1">
        <f t="shared" si="5"/>
        <v>34.199999999999996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 t="s">
        <v>40</v>
      </c>
      <c r="P13" s="1">
        <v>45</v>
      </c>
      <c r="Q13" s="1">
        <v>2.2799999999999998</v>
      </c>
      <c r="R13" s="1">
        <v>10</v>
      </c>
      <c r="S13" s="1"/>
      <c r="T13" s="1">
        <f t="shared" si="4"/>
        <v>450</v>
      </c>
      <c r="U13" s="1">
        <f t="shared" si="5"/>
        <v>102.6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200</v>
      </c>
      <c r="G16" s="3">
        <f>SUM(G6:G15)</f>
        <v>22.400000000000002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1500</v>
      </c>
      <c r="U16" s="3">
        <f>SUM(U6:U15)</f>
        <v>342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107.9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256.5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107.9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256.5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1700</v>
      </c>
      <c r="Z37" s="10"/>
      <c r="AA37" s="10">
        <f>F18+M18+T18+AA18+F35+M35+T35+AA35</f>
        <v>364.4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9358-D59C-4B0E-8329-AA59D48F45B7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 t="s">
        <v>36</v>
      </c>
      <c r="P6" s="1">
        <v>10</v>
      </c>
      <c r="Q6" s="1">
        <v>2.2799999999999998</v>
      </c>
      <c r="R6" s="1">
        <v>40</v>
      </c>
      <c r="S6" s="1"/>
      <c r="T6" s="1">
        <f>(R6+S6)*P6</f>
        <v>400</v>
      </c>
      <c r="U6" s="1">
        <f>(T6*Q6)/10</f>
        <v>91.199999999999989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 t="s">
        <v>37</v>
      </c>
      <c r="P7" s="1">
        <v>15</v>
      </c>
      <c r="Q7" s="1">
        <v>2.2799999999999998</v>
      </c>
      <c r="R7" s="1">
        <v>10</v>
      </c>
      <c r="S7" s="1"/>
      <c r="T7" s="1">
        <f t="shared" ref="T7:T15" si="4">(R7+S7)*P7</f>
        <v>150</v>
      </c>
      <c r="U7" s="1">
        <f t="shared" ref="U7:U15" si="5">(T7*Q7)/10</f>
        <v>34.199999999999996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550</v>
      </c>
      <c r="U16" s="3">
        <f>SUM(U6:U15)</f>
        <v>125.39999999999998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31.349999999999994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94.049999999999983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31.349999999999994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94.049999999999983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550</v>
      </c>
      <c r="Z37" s="10"/>
      <c r="AA37" s="10">
        <f>F18+M18+T18+AA18+F35+M35+T35+AA35</f>
        <v>125.39999999999998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8271-FDC3-490D-BC55-58CE2ECABC3D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4604-A011-497F-BA6F-A04428E7CCD8}">
  <dimension ref="A1:AB38"/>
  <sheetViews>
    <sheetView workbookViewId="0">
      <selection activeCell="AA37" sqref="AA37:AB3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/>
      <c r="P6" s="1"/>
      <c r="Q6" s="1"/>
      <c r="R6" s="1"/>
      <c r="S6" s="1"/>
      <c r="T6" s="1">
        <f>(R6+S6)*P6</f>
        <v>0</v>
      </c>
      <c r="U6" s="1">
        <f>(T6*Q6)/10</f>
        <v>0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/>
      <c r="P7" s="1"/>
      <c r="Q7" s="1"/>
      <c r="R7" s="1"/>
      <c r="S7" s="1"/>
      <c r="T7" s="1">
        <f t="shared" ref="T7:T15" si="4">(R7+S7)*P7</f>
        <v>0</v>
      </c>
      <c r="U7" s="1">
        <f t="shared" ref="U7:U15" si="5">(T7*Q7)/10</f>
        <v>0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0</v>
      </c>
      <c r="U16" s="3">
        <f>SUM(U6:U15)</f>
        <v>0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0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0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0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0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0</v>
      </c>
      <c r="Z37" s="10"/>
      <c r="AA37" s="10">
        <f>F18+M18+T18+AA18+F35+M35+T35+AA35</f>
        <v>0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6011-62DE-4E19-9446-E4CF9887CB59}">
  <dimension ref="A1:AB38"/>
  <sheetViews>
    <sheetView workbookViewId="0">
      <selection activeCell="R7" sqref="R7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/>
      <c r="B6" s="1"/>
      <c r="C6" s="1"/>
      <c r="D6" s="1"/>
      <c r="E6" s="1"/>
      <c r="F6" s="1">
        <f>(D6+E6)*B6</f>
        <v>0</v>
      </c>
      <c r="G6" s="1">
        <f>(F6*C6)/10</f>
        <v>0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 t="s">
        <v>36</v>
      </c>
      <c r="P6" s="1">
        <v>10</v>
      </c>
      <c r="Q6" s="1">
        <v>2.2799999999999998</v>
      </c>
      <c r="R6" s="1">
        <v>20</v>
      </c>
      <c r="S6" s="1"/>
      <c r="T6" s="1">
        <f>(R6+S6)*P6</f>
        <v>200</v>
      </c>
      <c r="U6" s="1">
        <f>(T6*Q6)/10</f>
        <v>45.599999999999994</v>
      </c>
      <c r="V6" s="1"/>
      <c r="W6" s="1"/>
      <c r="X6" s="1"/>
      <c r="Y6" s="1"/>
      <c r="Z6" s="1"/>
      <c r="AA6" s="1">
        <f>(Y6+Z6)*W6</f>
        <v>0</v>
      </c>
      <c r="AB6" s="1">
        <f>(AA6*X6)/10</f>
        <v>0</v>
      </c>
    </row>
    <row r="7" spans="1:28" x14ac:dyDescent="0.25">
      <c r="A7" s="1"/>
      <c r="B7" s="1"/>
      <c r="C7" s="1"/>
      <c r="D7" s="1"/>
      <c r="E7" s="1"/>
      <c r="F7" s="1">
        <f t="shared" ref="F7:F15" si="0">(D7+E7)*B7</f>
        <v>0</v>
      </c>
      <c r="G7" s="1">
        <f t="shared" ref="G7:G15" si="1">(F7*C7)/10</f>
        <v>0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 t="s">
        <v>37</v>
      </c>
      <c r="P7" s="1">
        <v>15</v>
      </c>
      <c r="Q7" s="1">
        <v>2.2799999999999998</v>
      </c>
      <c r="R7" s="1">
        <v>20</v>
      </c>
      <c r="S7" s="1"/>
      <c r="T7" s="1">
        <f t="shared" ref="T7:T15" si="4">(R7+S7)*P7</f>
        <v>300</v>
      </c>
      <c r="U7" s="1">
        <f t="shared" ref="U7:U15" si="5">(T7*Q7)/10</f>
        <v>68.399999999999991</v>
      </c>
      <c r="V7" s="1"/>
      <c r="W7" s="1"/>
      <c r="X7" s="1"/>
      <c r="Y7" s="1"/>
      <c r="Z7" s="1"/>
      <c r="AA7" s="1">
        <f t="shared" ref="AA7:AA15" si="6">(Y7+Z7)*W7</f>
        <v>0</v>
      </c>
      <c r="AB7" s="1">
        <f t="shared" ref="AB7:AB15" si="7">(AA7*X7)/10</f>
        <v>0</v>
      </c>
    </row>
    <row r="8" spans="1:28" x14ac:dyDescent="0.25">
      <c r="A8" s="1"/>
      <c r="B8" s="1"/>
      <c r="C8" s="1"/>
      <c r="D8" s="1"/>
      <c r="E8" s="1"/>
      <c r="F8" s="1">
        <f t="shared" si="0"/>
        <v>0</v>
      </c>
      <c r="G8" s="1">
        <f t="shared" si="1"/>
        <v>0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/>
      <c r="P8" s="1"/>
      <c r="Q8" s="1"/>
      <c r="R8" s="1"/>
      <c r="S8" s="1"/>
      <c r="T8" s="1">
        <f t="shared" si="4"/>
        <v>0</v>
      </c>
      <c r="U8" s="1">
        <f t="shared" si="5"/>
        <v>0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/>
      <c r="B9" s="1"/>
      <c r="C9" s="1"/>
      <c r="D9" s="1"/>
      <c r="E9" s="1"/>
      <c r="F9" s="1">
        <f t="shared" si="0"/>
        <v>0</v>
      </c>
      <c r="G9" s="1">
        <f t="shared" si="1"/>
        <v>0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/>
      <c r="P9" s="1"/>
      <c r="Q9" s="1"/>
      <c r="R9" s="1"/>
      <c r="S9" s="1"/>
      <c r="T9" s="1">
        <f t="shared" si="4"/>
        <v>0</v>
      </c>
      <c r="U9" s="1">
        <f t="shared" si="5"/>
        <v>0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/>
      <c r="B10" s="1"/>
      <c r="C10" s="1"/>
      <c r="D10" s="1"/>
      <c r="E10" s="1"/>
      <c r="F10" s="1">
        <f t="shared" si="0"/>
        <v>0</v>
      </c>
      <c r="G10" s="1">
        <f t="shared" si="1"/>
        <v>0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/>
      <c r="P10" s="1"/>
      <c r="Q10" s="1"/>
      <c r="R10" s="1"/>
      <c r="S10" s="1"/>
      <c r="T10" s="1">
        <f t="shared" si="4"/>
        <v>0</v>
      </c>
      <c r="U10" s="1">
        <f t="shared" si="5"/>
        <v>0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/>
      <c r="B11" s="1"/>
      <c r="C11" s="1"/>
      <c r="D11" s="1"/>
      <c r="E11" s="1"/>
      <c r="F11" s="1">
        <f t="shared" si="0"/>
        <v>0</v>
      </c>
      <c r="G11" s="1">
        <f t="shared" si="1"/>
        <v>0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/>
      <c r="P11" s="1"/>
      <c r="Q11" s="1"/>
      <c r="R11" s="1"/>
      <c r="S11" s="1"/>
      <c r="T11" s="1">
        <f t="shared" si="4"/>
        <v>0</v>
      </c>
      <c r="U11" s="1">
        <f t="shared" si="5"/>
        <v>0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/>
      <c r="P12" s="1"/>
      <c r="Q12" s="1"/>
      <c r="R12" s="1"/>
      <c r="S12" s="1"/>
      <c r="T12" s="1">
        <f t="shared" si="4"/>
        <v>0</v>
      </c>
      <c r="U12" s="1">
        <f t="shared" si="5"/>
        <v>0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/>
      <c r="P13" s="1"/>
      <c r="Q13" s="1"/>
      <c r="R13" s="1"/>
      <c r="S13" s="1"/>
      <c r="T13" s="1">
        <f t="shared" si="4"/>
        <v>0</v>
      </c>
      <c r="U13" s="1">
        <f t="shared" si="5"/>
        <v>0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0</v>
      </c>
      <c r="G16" s="3">
        <f>SUM(G6:G15)</f>
        <v>0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500</v>
      </c>
      <c r="U16" s="3">
        <f>SUM(U6:U15)</f>
        <v>113.99999999999999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0</v>
      </c>
      <c r="AB16" s="3">
        <f>SUM(AB6:AB15)</f>
        <v>0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28.499999999999996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85.499999999999986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0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28.499999999999996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85.499999999999986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0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500</v>
      </c>
      <c r="Z37" s="10"/>
      <c r="AA37" s="10">
        <f>F18+M18+T18+AA18+F35+M35+T35+AA35</f>
        <v>113.99999999999999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6632-8E71-41C0-9D32-4B066FB273F8}">
  <dimension ref="A1:AB38"/>
  <sheetViews>
    <sheetView tabSelected="1" workbookViewId="0">
      <selection activeCell="R8" sqref="R8"/>
    </sheetView>
  </sheetViews>
  <sheetFormatPr defaultRowHeight="15" x14ac:dyDescent="0.25"/>
  <sheetData>
    <row r="1" spans="1:28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3" t="s">
        <v>7</v>
      </c>
      <c r="B3" s="13"/>
      <c r="C3" s="13"/>
      <c r="D3" s="13"/>
      <c r="E3" s="13"/>
      <c r="F3" s="13"/>
      <c r="G3" s="14"/>
      <c r="H3" s="16" t="s">
        <v>10</v>
      </c>
      <c r="I3" s="16"/>
      <c r="J3" s="16"/>
      <c r="K3" s="16"/>
      <c r="L3" s="16"/>
      <c r="M3" s="16"/>
      <c r="N3" s="14"/>
      <c r="O3" s="13" t="s">
        <v>9</v>
      </c>
      <c r="P3" s="13"/>
      <c r="Q3" s="13"/>
      <c r="R3" s="13"/>
      <c r="S3" s="13"/>
      <c r="T3" s="13"/>
      <c r="U3" s="14"/>
      <c r="V3" s="16" t="s">
        <v>8</v>
      </c>
      <c r="W3" s="16"/>
      <c r="X3" s="16"/>
      <c r="Y3" s="16"/>
      <c r="Z3" s="16"/>
      <c r="AA3" s="16"/>
      <c r="AB3" s="14"/>
    </row>
    <row r="4" spans="1:28" x14ac:dyDescent="0.25">
      <c r="A4" s="13"/>
      <c r="B4" s="13"/>
      <c r="C4" s="13"/>
      <c r="D4" s="13"/>
      <c r="E4" s="13"/>
      <c r="F4" s="13"/>
      <c r="G4" s="14"/>
      <c r="H4" s="16"/>
      <c r="I4" s="16"/>
      <c r="J4" s="16"/>
      <c r="K4" s="16"/>
      <c r="L4" s="16"/>
      <c r="M4" s="16"/>
      <c r="N4" s="14"/>
      <c r="O4" s="13"/>
      <c r="P4" s="13"/>
      <c r="Q4" s="13"/>
      <c r="R4" s="13"/>
      <c r="S4" s="13"/>
      <c r="T4" s="13"/>
      <c r="U4" s="14"/>
      <c r="V4" s="16"/>
      <c r="W4" s="16"/>
      <c r="X4" s="16"/>
      <c r="Y4" s="16"/>
      <c r="Z4" s="16"/>
      <c r="AA4" s="16"/>
      <c r="AB4" s="14"/>
    </row>
    <row r="5" spans="1:28" x14ac:dyDescent="0.25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  <c r="J5" s="1" t="s">
        <v>2</v>
      </c>
      <c r="K5" s="1" t="s">
        <v>3</v>
      </c>
      <c r="L5" s="1" t="s">
        <v>4</v>
      </c>
      <c r="M5" s="1" t="s">
        <v>1</v>
      </c>
      <c r="N5" s="1" t="s">
        <v>5</v>
      </c>
      <c r="O5" s="1" t="s">
        <v>0</v>
      </c>
      <c r="P5" s="1" t="s">
        <v>6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5</v>
      </c>
      <c r="V5" s="1" t="s">
        <v>0</v>
      </c>
      <c r="W5" s="1" t="s">
        <v>6</v>
      </c>
      <c r="X5" s="1" t="s">
        <v>2</v>
      </c>
      <c r="Y5" s="1" t="s">
        <v>3</v>
      </c>
      <c r="Z5" s="1" t="s">
        <v>4</v>
      </c>
      <c r="AA5" s="1" t="s">
        <v>1</v>
      </c>
      <c r="AB5" s="1" t="s">
        <v>5</v>
      </c>
    </row>
    <row r="6" spans="1:28" x14ac:dyDescent="0.25">
      <c r="A6" s="1" t="s">
        <v>27</v>
      </c>
      <c r="B6" s="1">
        <v>5</v>
      </c>
      <c r="C6" s="1">
        <v>1.1200000000000001</v>
      </c>
      <c r="D6" s="1">
        <v>10</v>
      </c>
      <c r="E6" s="1">
        <v>10</v>
      </c>
      <c r="F6" s="1">
        <f>(D6+E6)*B6</f>
        <v>100</v>
      </c>
      <c r="G6" s="1">
        <f>(F6*C6)/10</f>
        <v>11.200000000000001</v>
      </c>
      <c r="H6" s="1"/>
      <c r="I6" s="1"/>
      <c r="J6" s="1"/>
      <c r="K6" s="1"/>
      <c r="L6" s="1"/>
      <c r="M6" s="1">
        <f>(K6+L6)*I6</f>
        <v>0</v>
      </c>
      <c r="N6" s="1">
        <f>(M6*J6)/10</f>
        <v>0</v>
      </c>
      <c r="O6" s="1" t="s">
        <v>36</v>
      </c>
      <c r="P6" s="1">
        <v>10</v>
      </c>
      <c r="Q6" s="1">
        <v>2.2799999999999998</v>
      </c>
      <c r="R6" s="1">
        <v>50</v>
      </c>
      <c r="S6" s="1"/>
      <c r="T6" s="1">
        <f>(R6+S6)*P6</f>
        <v>500</v>
      </c>
      <c r="U6" s="1">
        <f>(T6*Q6)/10</f>
        <v>114</v>
      </c>
      <c r="V6" s="1" t="s">
        <v>27</v>
      </c>
      <c r="W6" s="1">
        <v>5</v>
      </c>
      <c r="X6" s="1">
        <v>2.12</v>
      </c>
      <c r="Y6" s="1">
        <v>10</v>
      </c>
      <c r="Z6" s="1">
        <v>10</v>
      </c>
      <c r="AA6" s="1">
        <f>(Y6+Z6)*W6</f>
        <v>100</v>
      </c>
      <c r="AB6" s="1">
        <f>(AA6*X6)/10</f>
        <v>21.2</v>
      </c>
    </row>
    <row r="7" spans="1:28" x14ac:dyDescent="0.25">
      <c r="A7" s="1" t="s">
        <v>41</v>
      </c>
      <c r="B7" s="1">
        <v>5</v>
      </c>
      <c r="C7" s="1">
        <v>1.1200000000000001</v>
      </c>
      <c r="D7" s="1">
        <v>10</v>
      </c>
      <c r="E7" s="1">
        <v>10</v>
      </c>
      <c r="F7" s="1">
        <f t="shared" ref="F7:F15" si="0">(D7+E7)*B7</f>
        <v>100</v>
      </c>
      <c r="G7" s="1">
        <f t="shared" ref="G7:G15" si="1">(F7*C7)/10</f>
        <v>11.200000000000001</v>
      </c>
      <c r="H7" s="1"/>
      <c r="I7" s="1"/>
      <c r="J7" s="1"/>
      <c r="K7" s="1"/>
      <c r="L7" s="1"/>
      <c r="M7" s="1">
        <f t="shared" ref="M7:M15" si="2">(K7+L7)*I7</f>
        <v>0</v>
      </c>
      <c r="N7" s="1">
        <f t="shared" ref="N7:N15" si="3">(M7*J7)/10</f>
        <v>0</v>
      </c>
      <c r="O7" s="1" t="s">
        <v>37</v>
      </c>
      <c r="P7" s="1">
        <v>15</v>
      </c>
      <c r="Q7" s="1">
        <v>2.2799999999999998</v>
      </c>
      <c r="R7" s="1">
        <v>50</v>
      </c>
      <c r="S7" s="1"/>
      <c r="T7" s="1">
        <f t="shared" ref="T7:T15" si="4">(R7+S7)*P7</f>
        <v>750</v>
      </c>
      <c r="U7" s="1">
        <f t="shared" ref="U7:U15" si="5">(T7*Q7)/10</f>
        <v>170.99999999999997</v>
      </c>
      <c r="V7" s="1" t="s">
        <v>41</v>
      </c>
      <c r="W7" s="1">
        <v>5</v>
      </c>
      <c r="X7" s="1">
        <v>2.12</v>
      </c>
      <c r="Y7" s="1">
        <v>10</v>
      </c>
      <c r="Z7" s="1">
        <v>10</v>
      </c>
      <c r="AA7" s="1">
        <f t="shared" ref="AA7:AA15" si="6">(Y7+Z7)*W7</f>
        <v>100</v>
      </c>
      <c r="AB7" s="1">
        <f t="shared" ref="AB7:AB15" si="7">(AA7*X7)/10</f>
        <v>21.2</v>
      </c>
    </row>
    <row r="8" spans="1:28" x14ac:dyDescent="0.25">
      <c r="A8" s="1" t="s">
        <v>21</v>
      </c>
      <c r="B8" s="1">
        <v>5</v>
      </c>
      <c r="C8" s="1">
        <v>1.1200000000000001</v>
      </c>
      <c r="D8" s="1">
        <v>10</v>
      </c>
      <c r="E8" s="1">
        <v>10</v>
      </c>
      <c r="F8" s="1">
        <f t="shared" si="0"/>
        <v>100</v>
      </c>
      <c r="G8" s="1">
        <f t="shared" si="1"/>
        <v>11.200000000000001</v>
      </c>
      <c r="H8" s="1"/>
      <c r="I8" s="1"/>
      <c r="J8" s="1"/>
      <c r="K8" s="1"/>
      <c r="L8" s="1"/>
      <c r="M8" s="1">
        <f t="shared" si="2"/>
        <v>0</v>
      </c>
      <c r="N8" s="1">
        <f t="shared" si="3"/>
        <v>0</v>
      </c>
      <c r="O8" s="1" t="s">
        <v>19</v>
      </c>
      <c r="P8" s="1">
        <v>10</v>
      </c>
      <c r="Q8" s="1">
        <v>2.2799999999999998</v>
      </c>
      <c r="R8" s="1">
        <v>50</v>
      </c>
      <c r="S8" s="1"/>
      <c r="T8" s="1">
        <f t="shared" si="4"/>
        <v>500</v>
      </c>
      <c r="U8" s="1">
        <f t="shared" si="5"/>
        <v>114</v>
      </c>
      <c r="V8" s="1"/>
      <c r="W8" s="1"/>
      <c r="X8" s="1"/>
      <c r="Y8" s="1"/>
      <c r="Z8" s="1"/>
      <c r="AA8" s="1">
        <f t="shared" si="6"/>
        <v>0</v>
      </c>
      <c r="AB8" s="1">
        <f t="shared" si="7"/>
        <v>0</v>
      </c>
    </row>
    <row r="9" spans="1:28" x14ac:dyDescent="0.25">
      <c r="A9" s="1" t="s">
        <v>22</v>
      </c>
      <c r="B9" s="1">
        <v>5</v>
      </c>
      <c r="C9" s="1">
        <v>1.1200000000000001</v>
      </c>
      <c r="D9" s="1">
        <v>10</v>
      </c>
      <c r="E9" s="1">
        <v>10</v>
      </c>
      <c r="F9" s="1">
        <f t="shared" si="0"/>
        <v>100</v>
      </c>
      <c r="G9" s="1">
        <f t="shared" si="1"/>
        <v>11.200000000000001</v>
      </c>
      <c r="H9" s="1"/>
      <c r="I9" s="1"/>
      <c r="J9" s="1"/>
      <c r="K9" s="1"/>
      <c r="L9" s="1"/>
      <c r="M9" s="1">
        <f t="shared" si="2"/>
        <v>0</v>
      </c>
      <c r="N9" s="1">
        <f t="shared" si="3"/>
        <v>0</v>
      </c>
      <c r="O9" s="1" t="s">
        <v>20</v>
      </c>
      <c r="P9" s="1">
        <v>15</v>
      </c>
      <c r="Q9" s="1">
        <v>2.2799999999999998</v>
      </c>
      <c r="R9" s="1">
        <v>20</v>
      </c>
      <c r="S9" s="1"/>
      <c r="T9" s="1">
        <f t="shared" si="4"/>
        <v>300</v>
      </c>
      <c r="U9" s="1">
        <f t="shared" si="5"/>
        <v>68.399999999999991</v>
      </c>
      <c r="V9" s="1"/>
      <c r="W9" s="1"/>
      <c r="X9" s="1"/>
      <c r="Y9" s="1"/>
      <c r="Z9" s="1"/>
      <c r="AA9" s="1">
        <f t="shared" si="6"/>
        <v>0</v>
      </c>
      <c r="AB9" s="1">
        <f t="shared" si="7"/>
        <v>0</v>
      </c>
    </row>
    <row r="10" spans="1:28" x14ac:dyDescent="0.25">
      <c r="A10" s="1" t="s">
        <v>23</v>
      </c>
      <c r="B10" s="1">
        <v>5</v>
      </c>
      <c r="C10" s="1">
        <v>1.1200000000000001</v>
      </c>
      <c r="D10" s="1">
        <v>10</v>
      </c>
      <c r="E10" s="1">
        <v>10</v>
      </c>
      <c r="F10" s="1">
        <f t="shared" si="0"/>
        <v>100</v>
      </c>
      <c r="G10" s="1">
        <f t="shared" si="1"/>
        <v>11.200000000000001</v>
      </c>
      <c r="H10" s="1"/>
      <c r="I10" s="1"/>
      <c r="J10" s="1"/>
      <c r="K10" s="1"/>
      <c r="L10" s="1"/>
      <c r="M10" s="1">
        <f t="shared" si="2"/>
        <v>0</v>
      </c>
      <c r="N10" s="1">
        <f t="shared" si="3"/>
        <v>0</v>
      </c>
      <c r="O10" s="1" t="s">
        <v>38</v>
      </c>
      <c r="P10" s="1">
        <v>30</v>
      </c>
      <c r="Q10" s="1">
        <v>2.2799999999999998</v>
      </c>
      <c r="R10" s="1">
        <v>20</v>
      </c>
      <c r="S10" s="1"/>
      <c r="T10" s="1">
        <f t="shared" si="4"/>
        <v>600</v>
      </c>
      <c r="U10" s="1">
        <f t="shared" si="5"/>
        <v>136.79999999999998</v>
      </c>
      <c r="V10" s="1"/>
      <c r="W10" s="1"/>
      <c r="X10" s="1"/>
      <c r="Y10" s="1"/>
      <c r="Z10" s="1"/>
      <c r="AA10" s="1">
        <f t="shared" si="6"/>
        <v>0</v>
      </c>
      <c r="AB10" s="1">
        <f t="shared" si="7"/>
        <v>0</v>
      </c>
    </row>
    <row r="11" spans="1:28" x14ac:dyDescent="0.25">
      <c r="A11" s="1" t="s">
        <v>24</v>
      </c>
      <c r="B11" s="1">
        <v>5</v>
      </c>
      <c r="C11" s="1">
        <v>1.1200000000000001</v>
      </c>
      <c r="D11" s="1">
        <v>10</v>
      </c>
      <c r="E11" s="1">
        <v>10</v>
      </c>
      <c r="F11" s="1">
        <f t="shared" si="0"/>
        <v>100</v>
      </c>
      <c r="G11" s="1">
        <f t="shared" si="1"/>
        <v>11.200000000000001</v>
      </c>
      <c r="H11" s="1"/>
      <c r="I11" s="1"/>
      <c r="J11" s="1"/>
      <c r="K11" s="1"/>
      <c r="L11" s="1"/>
      <c r="M11" s="1">
        <f t="shared" si="2"/>
        <v>0</v>
      </c>
      <c r="N11" s="1">
        <f t="shared" si="3"/>
        <v>0</v>
      </c>
      <c r="O11" s="1" t="s">
        <v>34</v>
      </c>
      <c r="P11" s="1">
        <v>10</v>
      </c>
      <c r="Q11" s="1">
        <v>2.2799999999999998</v>
      </c>
      <c r="R11" s="1">
        <v>10</v>
      </c>
      <c r="S11" s="1"/>
      <c r="T11" s="1">
        <f t="shared" si="4"/>
        <v>100</v>
      </c>
      <c r="U11" s="1">
        <f t="shared" si="5"/>
        <v>22.799999999999997</v>
      </c>
      <c r="V11" s="1"/>
      <c r="W11" s="1"/>
      <c r="X11" s="1"/>
      <c r="Y11" s="1"/>
      <c r="Z11" s="1"/>
      <c r="AA11" s="1">
        <f t="shared" si="6"/>
        <v>0</v>
      </c>
      <c r="AB11" s="1">
        <f t="shared" si="7"/>
        <v>0</v>
      </c>
    </row>
    <row r="12" spans="1:28" x14ac:dyDescent="0.25">
      <c r="A12" s="1"/>
      <c r="B12" s="1"/>
      <c r="C12" s="1"/>
      <c r="D12" s="1"/>
      <c r="E12" s="1"/>
      <c r="F12" s="1">
        <f t="shared" si="0"/>
        <v>0</v>
      </c>
      <c r="G12" s="1">
        <f t="shared" si="1"/>
        <v>0</v>
      </c>
      <c r="H12" s="1"/>
      <c r="I12" s="1"/>
      <c r="J12" s="1"/>
      <c r="K12" s="1"/>
      <c r="L12" s="1"/>
      <c r="M12" s="1">
        <f t="shared" si="2"/>
        <v>0</v>
      </c>
      <c r="N12" s="1">
        <f t="shared" si="3"/>
        <v>0</v>
      </c>
      <c r="O12" s="1" t="s">
        <v>39</v>
      </c>
      <c r="P12" s="1">
        <v>15</v>
      </c>
      <c r="Q12" s="1">
        <v>2.2799999999999998</v>
      </c>
      <c r="R12" s="1">
        <v>10</v>
      </c>
      <c r="S12" s="1"/>
      <c r="T12" s="1">
        <f t="shared" si="4"/>
        <v>150</v>
      </c>
      <c r="U12" s="1">
        <f t="shared" si="5"/>
        <v>34.199999999999996</v>
      </c>
      <c r="V12" s="1"/>
      <c r="W12" s="1"/>
      <c r="X12" s="1"/>
      <c r="Y12" s="1"/>
      <c r="Z12" s="1"/>
      <c r="AA12" s="1">
        <f t="shared" si="6"/>
        <v>0</v>
      </c>
      <c r="AB12" s="1">
        <f t="shared" si="7"/>
        <v>0</v>
      </c>
    </row>
    <row r="13" spans="1:28" x14ac:dyDescent="0.25">
      <c r="A13" s="1"/>
      <c r="B13" s="1"/>
      <c r="C13" s="1"/>
      <c r="D13" s="1"/>
      <c r="E13" s="1"/>
      <c r="F13" s="1">
        <f t="shared" si="0"/>
        <v>0</v>
      </c>
      <c r="G13" s="1">
        <f t="shared" si="1"/>
        <v>0</v>
      </c>
      <c r="H13" s="1"/>
      <c r="I13" s="1"/>
      <c r="J13" s="1"/>
      <c r="K13" s="1"/>
      <c r="L13" s="1"/>
      <c r="M13" s="1">
        <f t="shared" si="2"/>
        <v>0</v>
      </c>
      <c r="N13" s="1">
        <f t="shared" si="3"/>
        <v>0</v>
      </c>
      <c r="O13" s="1" t="s">
        <v>40</v>
      </c>
      <c r="P13" s="1">
        <v>45</v>
      </c>
      <c r="Q13" s="1">
        <v>2.2799999999999998</v>
      </c>
      <c r="R13" s="1">
        <v>10</v>
      </c>
      <c r="S13" s="1"/>
      <c r="T13" s="1">
        <f t="shared" si="4"/>
        <v>450</v>
      </c>
      <c r="U13" s="1">
        <f t="shared" si="5"/>
        <v>102.6</v>
      </c>
      <c r="V13" s="1"/>
      <c r="W13" s="1"/>
      <c r="X13" s="1"/>
      <c r="Y13" s="1"/>
      <c r="Z13" s="1"/>
      <c r="AA13" s="1">
        <f t="shared" si="6"/>
        <v>0</v>
      </c>
      <c r="AB13" s="1">
        <f t="shared" si="7"/>
        <v>0</v>
      </c>
    </row>
    <row r="14" spans="1:28" x14ac:dyDescent="0.25">
      <c r="A14" s="1"/>
      <c r="B14" s="1"/>
      <c r="C14" s="1"/>
      <c r="D14" s="1"/>
      <c r="E14" s="1"/>
      <c r="F14" s="1">
        <f t="shared" si="0"/>
        <v>0</v>
      </c>
      <c r="G14" s="1">
        <f t="shared" si="1"/>
        <v>0</v>
      </c>
      <c r="H14" s="1"/>
      <c r="I14" s="1"/>
      <c r="J14" s="1"/>
      <c r="K14" s="1"/>
      <c r="L14" s="1"/>
      <c r="M14" s="1">
        <f t="shared" si="2"/>
        <v>0</v>
      </c>
      <c r="N14" s="1">
        <f t="shared" si="3"/>
        <v>0</v>
      </c>
      <c r="O14" s="1"/>
      <c r="P14" s="1"/>
      <c r="Q14" s="1"/>
      <c r="R14" s="1"/>
      <c r="S14" s="1"/>
      <c r="T14" s="1">
        <f t="shared" si="4"/>
        <v>0</v>
      </c>
      <c r="U14" s="1">
        <f t="shared" si="5"/>
        <v>0</v>
      </c>
      <c r="V14" s="1"/>
      <c r="W14" s="1"/>
      <c r="X14" s="1"/>
      <c r="Y14" s="1"/>
      <c r="Z14" s="1"/>
      <c r="AA14" s="1">
        <f t="shared" si="6"/>
        <v>0</v>
      </c>
      <c r="AB14" s="1">
        <f t="shared" si="7"/>
        <v>0</v>
      </c>
    </row>
    <row r="15" spans="1:28" x14ac:dyDescent="0.25">
      <c r="A15" s="1"/>
      <c r="B15" s="1"/>
      <c r="C15" s="1"/>
      <c r="D15" s="1"/>
      <c r="E15" s="1"/>
      <c r="F15" s="1">
        <f t="shared" si="0"/>
        <v>0</v>
      </c>
      <c r="G15" s="1">
        <f t="shared" si="1"/>
        <v>0</v>
      </c>
      <c r="H15" s="1"/>
      <c r="I15" s="1"/>
      <c r="J15" s="1"/>
      <c r="K15" s="1"/>
      <c r="L15" s="1"/>
      <c r="M15" s="1">
        <f t="shared" si="2"/>
        <v>0</v>
      </c>
      <c r="N15" s="1">
        <f t="shared" si="3"/>
        <v>0</v>
      </c>
      <c r="O15" s="1"/>
      <c r="P15" s="1"/>
      <c r="Q15" s="1"/>
      <c r="R15" s="1"/>
      <c r="S15" s="1"/>
      <c r="T15" s="1">
        <f t="shared" si="4"/>
        <v>0</v>
      </c>
      <c r="U15" s="1">
        <f t="shared" si="5"/>
        <v>0</v>
      </c>
      <c r="V15" s="1"/>
      <c r="W15" s="1"/>
      <c r="X15" s="1"/>
      <c r="Y15" s="1"/>
      <c r="Z15" s="1"/>
      <c r="AA15" s="1">
        <f t="shared" si="6"/>
        <v>0</v>
      </c>
      <c r="AB15" s="1">
        <f t="shared" si="7"/>
        <v>0</v>
      </c>
    </row>
    <row r="16" spans="1:28" x14ac:dyDescent="0.25">
      <c r="A16" s="8" t="s">
        <v>17</v>
      </c>
      <c r="B16" s="8"/>
      <c r="C16" s="2">
        <v>0.1</v>
      </c>
      <c r="D16" s="8">
        <v>0</v>
      </c>
      <c r="E16" s="8"/>
      <c r="F16" s="12">
        <f>SUM(F6:F15)</f>
        <v>600</v>
      </c>
      <c r="G16" s="3">
        <f>SUM(G6:G15)</f>
        <v>67.2</v>
      </c>
      <c r="H16" s="8" t="s">
        <v>17</v>
      </c>
      <c r="I16" s="8"/>
      <c r="J16" s="2">
        <v>0.1</v>
      </c>
      <c r="K16" s="8">
        <v>0</v>
      </c>
      <c r="L16" s="8"/>
      <c r="M16" s="12">
        <f>SUM(M6:M15)</f>
        <v>0</v>
      </c>
      <c r="N16" s="3">
        <f>SUM(N6:N15)</f>
        <v>0</v>
      </c>
      <c r="O16" s="8" t="s">
        <v>17</v>
      </c>
      <c r="P16" s="8"/>
      <c r="Q16" s="2">
        <v>0.1</v>
      </c>
      <c r="R16" s="8">
        <v>0</v>
      </c>
      <c r="S16" s="8"/>
      <c r="T16" s="12">
        <f>SUM(T6:T15)</f>
        <v>3350</v>
      </c>
      <c r="U16" s="3">
        <f>SUM(U6:U15)</f>
        <v>763.8</v>
      </c>
      <c r="V16" s="8" t="s">
        <v>17</v>
      </c>
      <c r="W16" s="8"/>
      <c r="X16" s="2">
        <v>0.1</v>
      </c>
      <c r="Y16" s="8">
        <v>0</v>
      </c>
      <c r="Z16" s="8"/>
      <c r="AA16" s="12">
        <f>SUM(AA6:AA15)</f>
        <v>200</v>
      </c>
      <c r="AB16" s="3">
        <f>SUM(AB6:AB15)</f>
        <v>42.4</v>
      </c>
    </row>
    <row r="17" spans="1:28" x14ac:dyDescent="0.25">
      <c r="A17" s="8" t="s">
        <v>16</v>
      </c>
      <c r="B17" s="8"/>
      <c r="C17" s="2">
        <v>0.1</v>
      </c>
      <c r="D17" s="8">
        <v>0</v>
      </c>
      <c r="E17" s="8"/>
      <c r="F17" s="12"/>
      <c r="G17" s="1">
        <f>G16+(N16/4)+(U16/4)</f>
        <v>258.14999999999998</v>
      </c>
      <c r="H17" s="8" t="s">
        <v>16</v>
      </c>
      <c r="I17" s="8"/>
      <c r="J17" s="2">
        <v>0.1</v>
      </c>
      <c r="K17" s="8">
        <v>0</v>
      </c>
      <c r="L17" s="8"/>
      <c r="M17" s="12"/>
      <c r="N17" s="1">
        <f>(N16/4)*3</f>
        <v>0</v>
      </c>
      <c r="O17" s="8" t="s">
        <v>16</v>
      </c>
      <c r="P17" s="8"/>
      <c r="Q17" s="2">
        <v>0.1</v>
      </c>
      <c r="R17" s="8">
        <v>0</v>
      </c>
      <c r="S17" s="8"/>
      <c r="T17" s="12"/>
      <c r="U17" s="1">
        <f>(U16/4)*3</f>
        <v>572.84999999999991</v>
      </c>
      <c r="V17" s="8" t="s">
        <v>16</v>
      </c>
      <c r="W17" s="8"/>
      <c r="X17" s="2">
        <v>0.1</v>
      </c>
      <c r="Y17" s="8">
        <v>0</v>
      </c>
      <c r="Z17" s="8"/>
      <c r="AA17" s="12"/>
      <c r="AB17" s="1">
        <f>AB16</f>
        <v>42.4</v>
      </c>
    </row>
    <row r="18" spans="1:28" x14ac:dyDescent="0.25">
      <c r="A18" s="8" t="s">
        <v>15</v>
      </c>
      <c r="B18" s="8"/>
      <c r="C18" s="2">
        <v>0.1</v>
      </c>
      <c r="D18" s="8">
        <v>0</v>
      </c>
      <c r="E18" s="8"/>
      <c r="F18" s="11">
        <f>G17+D16+D17+D18+D19</f>
        <v>258.14999999999998</v>
      </c>
      <c r="G18" s="11"/>
      <c r="H18" s="8" t="s">
        <v>15</v>
      </c>
      <c r="I18" s="8"/>
      <c r="J18" s="2">
        <v>0.1</v>
      </c>
      <c r="K18" s="8">
        <v>0</v>
      </c>
      <c r="L18" s="8"/>
      <c r="M18" s="11">
        <f>N17+K16+K17+K18+K19</f>
        <v>0</v>
      </c>
      <c r="N18" s="11"/>
      <c r="O18" s="8" t="s">
        <v>15</v>
      </c>
      <c r="P18" s="8"/>
      <c r="Q18" s="2">
        <v>0.1</v>
      </c>
      <c r="R18" s="8">
        <v>0</v>
      </c>
      <c r="S18" s="8"/>
      <c r="T18" s="11">
        <f>U17+R16+R17+R18+R19</f>
        <v>572.84999999999991</v>
      </c>
      <c r="U18" s="11"/>
      <c r="V18" s="8" t="s">
        <v>15</v>
      </c>
      <c r="W18" s="8"/>
      <c r="X18" s="2">
        <v>0.1</v>
      </c>
      <c r="Y18" s="8">
        <v>0</v>
      </c>
      <c r="Z18" s="8"/>
      <c r="AA18" s="11">
        <f>AB17+Y16+Y17+Y18+Y19</f>
        <v>42.4</v>
      </c>
      <c r="AB18" s="11"/>
    </row>
    <row r="19" spans="1:28" x14ac:dyDescent="0.25">
      <c r="A19" s="8" t="s">
        <v>18</v>
      </c>
      <c r="B19" s="8"/>
      <c r="C19" s="2">
        <v>0.1</v>
      </c>
      <c r="D19" s="8">
        <v>0</v>
      </c>
      <c r="E19" s="8"/>
      <c r="F19" s="11"/>
      <c r="G19" s="11"/>
      <c r="H19" s="8" t="s">
        <v>18</v>
      </c>
      <c r="I19" s="8"/>
      <c r="J19" s="2">
        <v>0.1</v>
      </c>
      <c r="K19" s="8">
        <v>0</v>
      </c>
      <c r="L19" s="8"/>
      <c r="M19" s="11"/>
      <c r="N19" s="11"/>
      <c r="O19" s="8" t="s">
        <v>18</v>
      </c>
      <c r="P19" s="8"/>
      <c r="Q19" s="2">
        <v>0.1</v>
      </c>
      <c r="R19" s="8">
        <v>0</v>
      </c>
      <c r="S19" s="8"/>
      <c r="T19" s="11"/>
      <c r="U19" s="11"/>
      <c r="V19" s="8" t="s">
        <v>18</v>
      </c>
      <c r="W19" s="8"/>
      <c r="X19" s="2">
        <v>0.1</v>
      </c>
      <c r="Y19" s="8">
        <v>0</v>
      </c>
      <c r="Z19" s="8"/>
      <c r="AA19" s="11"/>
      <c r="AB19" s="11"/>
    </row>
    <row r="20" spans="1:28" x14ac:dyDescent="0.25">
      <c r="A20" s="16" t="s">
        <v>11</v>
      </c>
      <c r="B20" s="16"/>
      <c r="C20" s="16"/>
      <c r="D20" s="16"/>
      <c r="E20" s="16"/>
      <c r="F20" s="16"/>
      <c r="G20" s="14"/>
      <c r="H20" s="13" t="s">
        <v>12</v>
      </c>
      <c r="I20" s="13"/>
      <c r="J20" s="13"/>
      <c r="K20" s="13"/>
      <c r="L20" s="13"/>
      <c r="M20" s="13"/>
      <c r="N20" s="14"/>
      <c r="O20" s="16" t="s">
        <v>13</v>
      </c>
      <c r="P20" s="16"/>
      <c r="Q20" s="16"/>
      <c r="R20" s="16"/>
      <c r="S20" s="16"/>
      <c r="T20" s="16"/>
      <c r="U20" s="14"/>
      <c r="V20" s="13" t="s">
        <v>14</v>
      </c>
      <c r="W20" s="13"/>
      <c r="X20" s="13"/>
      <c r="Y20" s="13"/>
      <c r="Z20" s="13"/>
      <c r="AA20" s="13"/>
      <c r="AB20" s="14"/>
    </row>
    <row r="21" spans="1:28" x14ac:dyDescent="0.25">
      <c r="A21" s="16"/>
      <c r="B21" s="16"/>
      <c r="C21" s="16"/>
      <c r="D21" s="16"/>
      <c r="E21" s="16"/>
      <c r="F21" s="16"/>
      <c r="G21" s="14"/>
      <c r="H21" s="13"/>
      <c r="I21" s="13"/>
      <c r="J21" s="13"/>
      <c r="K21" s="13"/>
      <c r="L21" s="13"/>
      <c r="M21" s="13"/>
      <c r="N21" s="14"/>
      <c r="O21" s="16"/>
      <c r="P21" s="16"/>
      <c r="Q21" s="16"/>
      <c r="R21" s="16"/>
      <c r="S21" s="16"/>
      <c r="T21" s="16"/>
      <c r="U21" s="14"/>
      <c r="V21" s="13"/>
      <c r="W21" s="13"/>
      <c r="X21" s="13"/>
      <c r="Y21" s="13"/>
      <c r="Z21" s="13"/>
      <c r="AA21" s="13"/>
      <c r="AB21" s="14"/>
    </row>
    <row r="22" spans="1:28" x14ac:dyDescent="0.25">
      <c r="A22" s="1" t="s">
        <v>0</v>
      </c>
      <c r="B22" s="1" t="s">
        <v>6</v>
      </c>
      <c r="C22" s="1" t="s">
        <v>2</v>
      </c>
      <c r="D22" s="1" t="s">
        <v>3</v>
      </c>
      <c r="E22" s="1" t="s">
        <v>4</v>
      </c>
      <c r="F22" s="1" t="s">
        <v>1</v>
      </c>
      <c r="G22" s="1" t="s">
        <v>5</v>
      </c>
      <c r="H22" s="1" t="s">
        <v>0</v>
      </c>
      <c r="I22" s="1" t="s">
        <v>6</v>
      </c>
      <c r="J22" s="1" t="s">
        <v>2</v>
      </c>
      <c r="K22" s="1" t="s">
        <v>3</v>
      </c>
      <c r="L22" s="1" t="s">
        <v>4</v>
      </c>
      <c r="M22" s="1" t="s">
        <v>1</v>
      </c>
      <c r="N22" s="1" t="s">
        <v>5</v>
      </c>
      <c r="O22" s="1" t="s">
        <v>0</v>
      </c>
      <c r="P22" s="1" t="s">
        <v>6</v>
      </c>
      <c r="Q22" s="1" t="s">
        <v>2</v>
      </c>
      <c r="R22" s="1" t="s">
        <v>3</v>
      </c>
      <c r="S22" s="1" t="s">
        <v>4</v>
      </c>
      <c r="T22" s="1" t="s">
        <v>1</v>
      </c>
      <c r="U22" s="1" t="s">
        <v>5</v>
      </c>
      <c r="V22" s="1" t="s">
        <v>0</v>
      </c>
      <c r="W22" s="1" t="s">
        <v>6</v>
      </c>
      <c r="X22" s="1" t="s">
        <v>2</v>
      </c>
      <c r="Y22" s="1" t="s">
        <v>3</v>
      </c>
      <c r="Z22" s="1" t="s">
        <v>4</v>
      </c>
      <c r="AA22" s="1" t="s">
        <v>1</v>
      </c>
      <c r="AB22" s="1" t="s">
        <v>5</v>
      </c>
    </row>
    <row r="23" spans="1:28" x14ac:dyDescent="0.25">
      <c r="A23" s="1"/>
      <c r="B23" s="1"/>
      <c r="C23" s="1"/>
      <c r="D23" s="1"/>
      <c r="E23" s="1"/>
      <c r="F23" s="1">
        <f>(D23+E23)*B23</f>
        <v>0</v>
      </c>
      <c r="G23" s="1">
        <f>(F23*C23)/10</f>
        <v>0</v>
      </c>
      <c r="H23" s="1"/>
      <c r="I23" s="1"/>
      <c r="J23" s="1"/>
      <c r="K23" s="1"/>
      <c r="L23" s="1"/>
      <c r="M23" s="1">
        <f>(K23+L23)*I23</f>
        <v>0</v>
      </c>
      <c r="N23" s="1">
        <f>(M23*J23)/10</f>
        <v>0</v>
      </c>
      <c r="O23" s="1"/>
      <c r="P23" s="1"/>
      <c r="Q23" s="1"/>
      <c r="R23" s="1"/>
      <c r="S23" s="1"/>
      <c r="T23" s="1">
        <f>(R23+S23)*P23</f>
        <v>0</v>
      </c>
      <c r="U23" s="1">
        <f>(T23*Q23)/10</f>
        <v>0</v>
      </c>
      <c r="V23" s="1"/>
      <c r="W23" s="1"/>
      <c r="X23" s="1"/>
      <c r="Y23" s="1"/>
      <c r="Z23" s="1"/>
      <c r="AA23" s="1">
        <f>(Y23+Z23)*W23</f>
        <v>0</v>
      </c>
      <c r="AB23" s="1">
        <f>(AA23*X23)/10</f>
        <v>0</v>
      </c>
    </row>
    <row r="24" spans="1:28" x14ac:dyDescent="0.25">
      <c r="A24" s="1"/>
      <c r="B24" s="1"/>
      <c r="C24" s="4"/>
      <c r="D24" s="1"/>
      <c r="E24" s="1"/>
      <c r="F24" s="1">
        <f t="shared" ref="F24:F32" si="8">(D24+E24)*B24</f>
        <v>0</v>
      </c>
      <c r="G24" s="1">
        <f t="shared" ref="G24:G32" si="9">(F24*C24)/10</f>
        <v>0</v>
      </c>
      <c r="H24" s="1"/>
      <c r="I24" s="1"/>
      <c r="J24" s="1"/>
      <c r="K24" s="1"/>
      <c r="L24" s="1"/>
      <c r="M24" s="1">
        <f t="shared" ref="M24:M32" si="10">(K24+L24)*I24</f>
        <v>0</v>
      </c>
      <c r="N24" s="1">
        <f t="shared" ref="N24:N32" si="11">(M24*J24)/10</f>
        <v>0</v>
      </c>
      <c r="O24" s="1"/>
      <c r="P24" s="1"/>
      <c r="Q24" s="4"/>
      <c r="R24" s="1"/>
      <c r="S24" s="1"/>
      <c r="T24" s="1">
        <f t="shared" ref="T24:T32" si="12">(R24+S24)*P24</f>
        <v>0</v>
      </c>
      <c r="U24" s="1">
        <f t="shared" ref="U24:U32" si="13">(T24*Q24)/10</f>
        <v>0</v>
      </c>
      <c r="V24" s="1"/>
      <c r="W24" s="1"/>
      <c r="X24" s="1"/>
      <c r="Y24" s="1"/>
      <c r="Z24" s="1"/>
      <c r="AA24" s="1">
        <f t="shared" ref="AA24:AA32" si="14">(Y24+Z24)*W24</f>
        <v>0</v>
      </c>
      <c r="AB24" s="1">
        <f t="shared" ref="AB24:AB32" si="15">(AA24*X24)/10</f>
        <v>0</v>
      </c>
    </row>
    <row r="25" spans="1:28" x14ac:dyDescent="0.25">
      <c r="A25" s="1"/>
      <c r="B25" s="1"/>
      <c r="C25" s="1"/>
      <c r="D25" s="1"/>
      <c r="E25" s="1"/>
      <c r="F25" s="1">
        <f t="shared" si="8"/>
        <v>0</v>
      </c>
      <c r="G25" s="1">
        <f t="shared" si="9"/>
        <v>0</v>
      </c>
      <c r="H25" s="1"/>
      <c r="I25" s="1"/>
      <c r="J25" s="1"/>
      <c r="K25" s="1"/>
      <c r="L25" s="1"/>
      <c r="M25" s="1">
        <f t="shared" si="10"/>
        <v>0</v>
      </c>
      <c r="N25" s="1">
        <f t="shared" si="11"/>
        <v>0</v>
      </c>
      <c r="O25" s="1"/>
      <c r="P25" s="1"/>
      <c r="Q25" s="1"/>
      <c r="R25" s="1"/>
      <c r="S25" s="1"/>
      <c r="T25" s="1">
        <f t="shared" si="12"/>
        <v>0</v>
      </c>
      <c r="U25" s="1">
        <f t="shared" si="13"/>
        <v>0</v>
      </c>
      <c r="V25" s="1"/>
      <c r="W25" s="1"/>
      <c r="X25" s="1"/>
      <c r="Y25" s="1"/>
      <c r="Z25" s="1"/>
      <c r="AA25" s="1">
        <f t="shared" si="14"/>
        <v>0</v>
      </c>
      <c r="AB25" s="1">
        <f t="shared" si="15"/>
        <v>0</v>
      </c>
    </row>
    <row r="26" spans="1:28" x14ac:dyDescent="0.25">
      <c r="A26" s="1"/>
      <c r="B26" s="1"/>
      <c r="C26" s="1"/>
      <c r="D26" s="1"/>
      <c r="E26" s="1"/>
      <c r="F26" s="1">
        <f t="shared" si="8"/>
        <v>0</v>
      </c>
      <c r="G26" s="1">
        <f t="shared" si="9"/>
        <v>0</v>
      </c>
      <c r="H26" s="1"/>
      <c r="I26" s="1"/>
      <c r="J26" s="1"/>
      <c r="K26" s="1"/>
      <c r="L26" s="1"/>
      <c r="M26" s="1">
        <f t="shared" si="10"/>
        <v>0</v>
      </c>
      <c r="N26" s="1">
        <f t="shared" si="11"/>
        <v>0</v>
      </c>
      <c r="O26" s="1"/>
      <c r="P26" s="1"/>
      <c r="Q26" s="1"/>
      <c r="R26" s="1"/>
      <c r="S26" s="1"/>
      <c r="T26" s="1">
        <f t="shared" si="12"/>
        <v>0</v>
      </c>
      <c r="U26" s="1">
        <f t="shared" si="13"/>
        <v>0</v>
      </c>
      <c r="V26" s="1"/>
      <c r="W26" s="1"/>
      <c r="X26" s="1"/>
      <c r="Y26" s="1"/>
      <c r="Z26" s="1"/>
      <c r="AA26" s="1">
        <f t="shared" si="14"/>
        <v>0</v>
      </c>
      <c r="AB26" s="1">
        <f t="shared" si="15"/>
        <v>0</v>
      </c>
    </row>
    <row r="27" spans="1:28" x14ac:dyDescent="0.25">
      <c r="A27" s="1"/>
      <c r="B27" s="1"/>
      <c r="C27" s="1"/>
      <c r="D27" s="1"/>
      <c r="E27" s="1"/>
      <c r="F27" s="1">
        <f t="shared" si="8"/>
        <v>0</v>
      </c>
      <c r="G27" s="1">
        <f t="shared" si="9"/>
        <v>0</v>
      </c>
      <c r="H27" s="1"/>
      <c r="I27" s="1"/>
      <c r="J27" s="1"/>
      <c r="K27" s="1"/>
      <c r="L27" s="1"/>
      <c r="M27" s="1">
        <f t="shared" si="10"/>
        <v>0</v>
      </c>
      <c r="N27" s="1">
        <f t="shared" si="11"/>
        <v>0</v>
      </c>
      <c r="O27" s="1"/>
      <c r="P27" s="1"/>
      <c r="Q27" s="1"/>
      <c r="R27" s="1"/>
      <c r="S27" s="1"/>
      <c r="T27" s="1">
        <f t="shared" si="12"/>
        <v>0</v>
      </c>
      <c r="U27" s="1">
        <f t="shared" si="13"/>
        <v>0</v>
      </c>
      <c r="V27" s="1"/>
      <c r="W27" s="1"/>
      <c r="X27" s="1"/>
      <c r="Y27" s="1"/>
      <c r="Z27" s="1"/>
      <c r="AA27" s="1">
        <f t="shared" si="14"/>
        <v>0</v>
      </c>
      <c r="AB27" s="1">
        <f t="shared" si="15"/>
        <v>0</v>
      </c>
    </row>
    <row r="28" spans="1:28" x14ac:dyDescent="0.25">
      <c r="A28" s="1"/>
      <c r="B28" s="1"/>
      <c r="C28" s="1"/>
      <c r="D28" s="1"/>
      <c r="E28" s="1"/>
      <c r="F28" s="1">
        <f t="shared" si="8"/>
        <v>0</v>
      </c>
      <c r="G28" s="1">
        <f t="shared" si="9"/>
        <v>0</v>
      </c>
      <c r="H28" s="1"/>
      <c r="I28" s="1"/>
      <c r="J28" s="1"/>
      <c r="K28" s="1"/>
      <c r="L28" s="1"/>
      <c r="M28" s="1">
        <f t="shared" si="10"/>
        <v>0</v>
      </c>
      <c r="N28" s="1">
        <f t="shared" si="11"/>
        <v>0</v>
      </c>
      <c r="O28" s="1"/>
      <c r="P28" s="1"/>
      <c r="Q28" s="1"/>
      <c r="R28" s="1"/>
      <c r="S28" s="1"/>
      <c r="T28" s="1">
        <f t="shared" si="12"/>
        <v>0</v>
      </c>
      <c r="U28" s="1">
        <f t="shared" si="13"/>
        <v>0</v>
      </c>
      <c r="V28" s="1"/>
      <c r="W28" s="1"/>
      <c r="X28" s="1"/>
      <c r="Y28" s="1"/>
      <c r="Z28" s="1"/>
      <c r="AA28" s="1">
        <f t="shared" si="14"/>
        <v>0</v>
      </c>
      <c r="AB28" s="1">
        <f t="shared" si="15"/>
        <v>0</v>
      </c>
    </row>
    <row r="29" spans="1:28" x14ac:dyDescent="0.25">
      <c r="A29" s="1"/>
      <c r="B29" s="1"/>
      <c r="C29" s="1"/>
      <c r="D29" s="1"/>
      <c r="E29" s="1"/>
      <c r="F29" s="1">
        <f t="shared" si="8"/>
        <v>0</v>
      </c>
      <c r="G29" s="1">
        <f t="shared" si="9"/>
        <v>0</v>
      </c>
      <c r="H29" s="1"/>
      <c r="I29" s="1"/>
      <c r="J29" s="1"/>
      <c r="K29" s="1"/>
      <c r="L29" s="1"/>
      <c r="M29" s="1">
        <f t="shared" si="10"/>
        <v>0</v>
      </c>
      <c r="N29" s="1">
        <f t="shared" si="11"/>
        <v>0</v>
      </c>
      <c r="O29" s="1"/>
      <c r="P29" s="1"/>
      <c r="Q29" s="1"/>
      <c r="R29" s="1"/>
      <c r="S29" s="1"/>
      <c r="T29" s="1">
        <f t="shared" si="12"/>
        <v>0</v>
      </c>
      <c r="U29" s="1">
        <f t="shared" si="13"/>
        <v>0</v>
      </c>
      <c r="V29" s="1"/>
      <c r="W29" s="1"/>
      <c r="X29" s="1"/>
      <c r="Y29" s="1"/>
      <c r="Z29" s="1"/>
      <c r="AA29" s="1">
        <f t="shared" si="14"/>
        <v>0</v>
      </c>
      <c r="AB29" s="1">
        <f t="shared" si="15"/>
        <v>0</v>
      </c>
    </row>
    <row r="30" spans="1:28" x14ac:dyDescent="0.25">
      <c r="A30" s="1"/>
      <c r="B30" s="1"/>
      <c r="C30" s="1"/>
      <c r="D30" s="1"/>
      <c r="E30" s="1"/>
      <c r="F30" s="1">
        <f t="shared" si="8"/>
        <v>0</v>
      </c>
      <c r="G30" s="1">
        <f t="shared" si="9"/>
        <v>0</v>
      </c>
      <c r="H30" s="1"/>
      <c r="I30" s="1"/>
      <c r="J30" s="1"/>
      <c r="K30" s="1"/>
      <c r="L30" s="1"/>
      <c r="M30" s="1">
        <f t="shared" si="10"/>
        <v>0</v>
      </c>
      <c r="N30" s="1">
        <f t="shared" si="11"/>
        <v>0</v>
      </c>
      <c r="O30" s="1"/>
      <c r="P30" s="1"/>
      <c r="Q30" s="1"/>
      <c r="R30" s="1"/>
      <c r="S30" s="1"/>
      <c r="T30" s="1">
        <f t="shared" si="12"/>
        <v>0</v>
      </c>
      <c r="U30" s="1">
        <f t="shared" si="13"/>
        <v>0</v>
      </c>
      <c r="V30" s="1"/>
      <c r="W30" s="1"/>
      <c r="X30" s="1"/>
      <c r="Y30" s="1"/>
      <c r="Z30" s="1"/>
      <c r="AA30" s="1">
        <f t="shared" si="14"/>
        <v>0</v>
      </c>
      <c r="AB30" s="1">
        <f t="shared" si="15"/>
        <v>0</v>
      </c>
    </row>
    <row r="31" spans="1:28" x14ac:dyDescent="0.25">
      <c r="A31" s="1"/>
      <c r="B31" s="1"/>
      <c r="C31" s="1"/>
      <c r="D31" s="1"/>
      <c r="E31" s="1"/>
      <c r="F31" s="1">
        <f t="shared" si="8"/>
        <v>0</v>
      </c>
      <c r="G31" s="1">
        <f t="shared" si="9"/>
        <v>0</v>
      </c>
      <c r="H31" s="1"/>
      <c r="I31" s="1"/>
      <c r="J31" s="1"/>
      <c r="K31" s="1"/>
      <c r="L31" s="1"/>
      <c r="M31" s="1">
        <f t="shared" si="10"/>
        <v>0</v>
      </c>
      <c r="N31" s="1">
        <f t="shared" si="11"/>
        <v>0</v>
      </c>
      <c r="O31" s="1"/>
      <c r="P31" s="1"/>
      <c r="Q31" s="1"/>
      <c r="R31" s="1"/>
      <c r="S31" s="1"/>
      <c r="T31" s="1">
        <f t="shared" si="12"/>
        <v>0</v>
      </c>
      <c r="U31" s="1">
        <f t="shared" si="13"/>
        <v>0</v>
      </c>
      <c r="V31" s="1"/>
      <c r="W31" s="1"/>
      <c r="X31" s="1"/>
      <c r="Y31" s="1"/>
      <c r="Z31" s="1"/>
      <c r="AA31" s="1">
        <f t="shared" si="14"/>
        <v>0</v>
      </c>
      <c r="AB31" s="1">
        <f t="shared" si="15"/>
        <v>0</v>
      </c>
    </row>
    <row r="32" spans="1:28" x14ac:dyDescent="0.25">
      <c r="A32" s="1"/>
      <c r="B32" s="1"/>
      <c r="C32" s="1"/>
      <c r="D32" s="1"/>
      <c r="E32" s="1"/>
      <c r="F32" s="1">
        <f t="shared" si="8"/>
        <v>0</v>
      </c>
      <c r="G32" s="1">
        <f t="shared" si="9"/>
        <v>0</v>
      </c>
      <c r="H32" s="1"/>
      <c r="I32" s="1"/>
      <c r="J32" s="1"/>
      <c r="K32" s="1"/>
      <c r="L32" s="1"/>
      <c r="M32" s="1">
        <f t="shared" si="10"/>
        <v>0</v>
      </c>
      <c r="N32" s="1">
        <f t="shared" si="11"/>
        <v>0</v>
      </c>
      <c r="O32" s="1"/>
      <c r="P32" s="1"/>
      <c r="Q32" s="1"/>
      <c r="R32" s="1"/>
      <c r="S32" s="1"/>
      <c r="T32" s="1">
        <f t="shared" si="12"/>
        <v>0</v>
      </c>
      <c r="U32" s="1">
        <f t="shared" si="13"/>
        <v>0</v>
      </c>
      <c r="V32" s="1"/>
      <c r="W32" s="1"/>
      <c r="X32" s="1"/>
      <c r="Y32" s="1"/>
      <c r="Z32" s="1"/>
      <c r="AA32" s="1">
        <f t="shared" si="14"/>
        <v>0</v>
      </c>
      <c r="AB32" s="1">
        <f t="shared" si="15"/>
        <v>0</v>
      </c>
    </row>
    <row r="33" spans="1:28" x14ac:dyDescent="0.25">
      <c r="A33" s="8" t="s">
        <v>17</v>
      </c>
      <c r="B33" s="8"/>
      <c r="C33" s="2">
        <v>0.1</v>
      </c>
      <c r="D33" s="8">
        <v>0</v>
      </c>
      <c r="E33" s="8"/>
      <c r="F33" s="12">
        <f>SUM(F23:F32)</f>
        <v>0</v>
      </c>
      <c r="G33" s="3">
        <f>SUM(G23:G32)</f>
        <v>0</v>
      </c>
      <c r="H33" s="15" t="s">
        <v>17</v>
      </c>
      <c r="I33" s="15"/>
      <c r="J33" s="5">
        <v>0.1</v>
      </c>
      <c r="K33" s="15">
        <f>N34/10</f>
        <v>0</v>
      </c>
      <c r="L33" s="15"/>
      <c r="M33" s="12">
        <f>SUM(M23:M32)</f>
        <v>0</v>
      </c>
      <c r="N33" s="3">
        <f>SUM(N23:N32)</f>
        <v>0</v>
      </c>
      <c r="O33" s="8" t="s">
        <v>17</v>
      </c>
      <c r="P33" s="8"/>
      <c r="Q33" s="2">
        <v>0.1</v>
      </c>
      <c r="R33" s="8">
        <v>0</v>
      </c>
      <c r="S33" s="8"/>
      <c r="T33" s="12">
        <f>SUM(T23:T32)</f>
        <v>0</v>
      </c>
      <c r="U33" s="3">
        <f>SUM(U23:U32)</f>
        <v>0</v>
      </c>
      <c r="V33" s="8" t="s">
        <v>17</v>
      </c>
      <c r="W33" s="8"/>
      <c r="X33" s="2">
        <v>0.1</v>
      </c>
      <c r="Y33" s="8">
        <v>0</v>
      </c>
      <c r="Z33" s="8"/>
      <c r="AA33" s="12">
        <f>SUM(AA23:AA32)</f>
        <v>0</v>
      </c>
      <c r="AB33" s="3">
        <f>SUM(AB23:AB32)</f>
        <v>0</v>
      </c>
    </row>
    <row r="34" spans="1:28" x14ac:dyDescent="0.25">
      <c r="A34" s="8" t="s">
        <v>16</v>
      </c>
      <c r="B34" s="8"/>
      <c r="C34" s="2">
        <v>0.1</v>
      </c>
      <c r="D34" s="8">
        <v>0</v>
      </c>
      <c r="E34" s="8"/>
      <c r="F34" s="12"/>
      <c r="G34" s="1">
        <f>G33</f>
        <v>0</v>
      </c>
      <c r="H34" s="8" t="s">
        <v>16</v>
      </c>
      <c r="I34" s="8"/>
      <c r="J34" s="2">
        <v>0.1</v>
      </c>
      <c r="K34" s="8">
        <v>0</v>
      </c>
      <c r="L34" s="8"/>
      <c r="M34" s="12"/>
      <c r="N34" s="1">
        <f>N33</f>
        <v>0</v>
      </c>
      <c r="O34" s="8" t="s">
        <v>16</v>
      </c>
      <c r="P34" s="8"/>
      <c r="Q34" s="2">
        <v>0.1</v>
      </c>
      <c r="R34" s="8">
        <v>0</v>
      </c>
      <c r="S34" s="8"/>
      <c r="T34" s="12"/>
      <c r="U34" s="1">
        <f>U33+(AB33/4)</f>
        <v>0</v>
      </c>
      <c r="V34" s="8" t="s">
        <v>16</v>
      </c>
      <c r="W34" s="8"/>
      <c r="X34" s="2">
        <v>0.1</v>
      </c>
      <c r="Y34" s="8">
        <v>0</v>
      </c>
      <c r="Z34" s="8"/>
      <c r="AA34" s="12"/>
      <c r="AB34" s="1">
        <f>(AB33/4)*3</f>
        <v>0</v>
      </c>
    </row>
    <row r="35" spans="1:28" x14ac:dyDescent="0.25">
      <c r="A35" s="8" t="s">
        <v>15</v>
      </c>
      <c r="B35" s="8"/>
      <c r="C35" s="2">
        <v>0.1</v>
      </c>
      <c r="D35" s="8">
        <v>0</v>
      </c>
      <c r="E35" s="8"/>
      <c r="F35" s="11">
        <f>G34+D33+D34+D35+D36</f>
        <v>0</v>
      </c>
      <c r="G35" s="11"/>
      <c r="H35" s="8" t="s">
        <v>15</v>
      </c>
      <c r="I35" s="8"/>
      <c r="J35" s="2">
        <v>0.1</v>
      </c>
      <c r="K35" s="8">
        <v>0</v>
      </c>
      <c r="L35" s="8"/>
      <c r="M35" s="11">
        <f>N34+K33+K34+K35+K36</f>
        <v>0</v>
      </c>
      <c r="N35" s="11"/>
      <c r="O35" s="8" t="s">
        <v>15</v>
      </c>
      <c r="P35" s="8"/>
      <c r="Q35" s="2">
        <v>0.1</v>
      </c>
      <c r="R35" s="8">
        <v>0</v>
      </c>
      <c r="S35" s="8"/>
      <c r="T35" s="11">
        <f>U34+R33+R34+R35+R36</f>
        <v>0</v>
      </c>
      <c r="U35" s="11"/>
      <c r="V35" s="8" t="s">
        <v>15</v>
      </c>
      <c r="W35" s="8"/>
      <c r="X35" s="2">
        <v>0.1</v>
      </c>
      <c r="Y35" s="8">
        <v>0</v>
      </c>
      <c r="Z35" s="8"/>
      <c r="AA35" s="11">
        <f>AB34+Y33+Y34+Y35+Y36</f>
        <v>0</v>
      </c>
      <c r="AB35" s="11"/>
    </row>
    <row r="36" spans="1:28" x14ac:dyDescent="0.25">
      <c r="A36" s="8" t="s">
        <v>18</v>
      </c>
      <c r="B36" s="8"/>
      <c r="C36" s="2">
        <v>0.1</v>
      </c>
      <c r="D36" s="8">
        <v>0</v>
      </c>
      <c r="E36" s="8"/>
      <c r="F36" s="11"/>
      <c r="G36" s="11"/>
      <c r="H36" s="8" t="s">
        <v>18</v>
      </c>
      <c r="I36" s="8"/>
      <c r="J36" s="2">
        <v>0.1</v>
      </c>
      <c r="K36" s="8">
        <v>0</v>
      </c>
      <c r="L36" s="8"/>
      <c r="M36" s="11"/>
      <c r="N36" s="11"/>
      <c r="O36" s="8" t="s">
        <v>18</v>
      </c>
      <c r="P36" s="8"/>
      <c r="Q36" s="2">
        <v>0.1</v>
      </c>
      <c r="R36" s="8">
        <v>0</v>
      </c>
      <c r="S36" s="8"/>
      <c r="T36" s="11"/>
      <c r="U36" s="11"/>
      <c r="V36" s="8" t="s">
        <v>18</v>
      </c>
      <c r="W36" s="8"/>
      <c r="X36" s="2">
        <v>0.1</v>
      </c>
      <c r="Y36" s="8">
        <v>0</v>
      </c>
      <c r="Z36" s="8"/>
      <c r="AA36" s="11"/>
      <c r="AB36" s="11"/>
    </row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>
        <f>F16+M16+T16+AA16+F33+M33+T33+AA33</f>
        <v>4150</v>
      </c>
      <c r="Z37" s="10"/>
      <c r="AA37" s="10">
        <f>F18+M18+T18+AA18+F35+M35+T35+AA35</f>
        <v>873.39999999999986</v>
      </c>
      <c r="AB37" s="10"/>
    </row>
    <row r="38" spans="1:2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0"/>
      <c r="AA38" s="10"/>
      <c r="AB38" s="10"/>
    </row>
  </sheetData>
  <mergeCells count="100">
    <mergeCell ref="A1:AB2"/>
    <mergeCell ref="A3:F4"/>
    <mergeCell ref="G3:G4"/>
    <mergeCell ref="H3:M4"/>
    <mergeCell ref="N3:N4"/>
    <mergeCell ref="O3:T4"/>
    <mergeCell ref="U3:U4"/>
    <mergeCell ref="V3:AA4"/>
    <mergeCell ref="AB3:AB4"/>
    <mergeCell ref="M16:M17"/>
    <mergeCell ref="A17:B17"/>
    <mergeCell ref="D17:E17"/>
    <mergeCell ref="H17:I17"/>
    <mergeCell ref="K17:L17"/>
    <mergeCell ref="A16:B16"/>
    <mergeCell ref="D16:E16"/>
    <mergeCell ref="F16:F17"/>
    <mergeCell ref="H16:I16"/>
    <mergeCell ref="K16:L16"/>
    <mergeCell ref="AA16:AA17"/>
    <mergeCell ref="O17:P17"/>
    <mergeCell ref="R17:S17"/>
    <mergeCell ref="V17:W17"/>
    <mergeCell ref="Y17:Z17"/>
    <mergeCell ref="O16:P16"/>
    <mergeCell ref="R16:S16"/>
    <mergeCell ref="T16:T17"/>
    <mergeCell ref="V16:W16"/>
    <mergeCell ref="Y16:Z16"/>
    <mergeCell ref="M18:N19"/>
    <mergeCell ref="A19:B19"/>
    <mergeCell ref="D19:E19"/>
    <mergeCell ref="H19:I19"/>
    <mergeCell ref="K19:L19"/>
    <mergeCell ref="A18:B18"/>
    <mergeCell ref="D18:E18"/>
    <mergeCell ref="F18:G19"/>
    <mergeCell ref="H18:I18"/>
    <mergeCell ref="K18:L18"/>
    <mergeCell ref="AA18:AB19"/>
    <mergeCell ref="O19:P19"/>
    <mergeCell ref="R19:S19"/>
    <mergeCell ref="V19:W19"/>
    <mergeCell ref="Y19:Z19"/>
    <mergeCell ref="O18:P18"/>
    <mergeCell ref="R18:S18"/>
    <mergeCell ref="T18:U19"/>
    <mergeCell ref="V18:W18"/>
    <mergeCell ref="Y18:Z18"/>
    <mergeCell ref="V20:AA21"/>
    <mergeCell ref="AB20:AB21"/>
    <mergeCell ref="A33:B33"/>
    <mergeCell ref="D33:E33"/>
    <mergeCell ref="F33:F34"/>
    <mergeCell ref="H33:I33"/>
    <mergeCell ref="K33:L33"/>
    <mergeCell ref="M33:M34"/>
    <mergeCell ref="O33:P33"/>
    <mergeCell ref="R33:S33"/>
    <mergeCell ref="A20:F21"/>
    <mergeCell ref="G20:G21"/>
    <mergeCell ref="H20:M21"/>
    <mergeCell ref="N20:N21"/>
    <mergeCell ref="O20:T21"/>
    <mergeCell ref="U20:U21"/>
    <mergeCell ref="AA33:AA34"/>
    <mergeCell ref="A34:B34"/>
    <mergeCell ref="D34:E34"/>
    <mergeCell ref="H34:I34"/>
    <mergeCell ref="K34:L34"/>
    <mergeCell ref="O34:P34"/>
    <mergeCell ref="R34:S34"/>
    <mergeCell ref="V34:W34"/>
    <mergeCell ref="Y34:Z34"/>
    <mergeCell ref="Y33:Z33"/>
    <mergeCell ref="R35:S35"/>
    <mergeCell ref="T33:T34"/>
    <mergeCell ref="V33:W33"/>
    <mergeCell ref="V36:W36"/>
    <mergeCell ref="A35:B35"/>
    <mergeCell ref="D35:E35"/>
    <mergeCell ref="F35:G36"/>
    <mergeCell ref="H35:I35"/>
    <mergeCell ref="K35:L35"/>
    <mergeCell ref="Y36:Z36"/>
    <mergeCell ref="A37:X38"/>
    <mergeCell ref="Y37:Z38"/>
    <mergeCell ref="AA37:AB38"/>
    <mergeCell ref="T35:U36"/>
    <mergeCell ref="V35:W35"/>
    <mergeCell ref="Y35:Z35"/>
    <mergeCell ref="AA35:AB36"/>
    <mergeCell ref="A36:B36"/>
    <mergeCell ref="D36:E36"/>
    <mergeCell ref="H36:I36"/>
    <mergeCell ref="K36:L36"/>
    <mergeCell ref="O36:P36"/>
    <mergeCell ref="R36:S36"/>
    <mergeCell ref="M35:N36"/>
    <mergeCell ref="O35:P3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Лист13</vt:lpstr>
      <vt:lpstr>Лист14</vt:lpstr>
      <vt:lpstr>Лист15</vt:lpstr>
      <vt:lpstr>Лист16</vt:lpstr>
      <vt:lpstr>Лист17</vt:lpstr>
      <vt:lpstr>Лист18</vt:lpstr>
      <vt:lpstr>Лист19</vt:lpstr>
      <vt:lpstr>Лист20</vt:lpstr>
      <vt:lpstr>Лист21</vt:lpstr>
      <vt:lpstr>Лист22</vt:lpstr>
      <vt:lpstr>Лист23</vt:lpstr>
      <vt:lpstr>Лист24</vt:lpstr>
      <vt:lpstr>Лист25</vt:lpstr>
      <vt:lpstr>Лист26</vt:lpstr>
      <vt:lpstr>Лист27</vt:lpstr>
      <vt:lpstr>Лист28</vt:lpstr>
      <vt:lpstr>Лист29</vt:lpstr>
      <vt:lpstr>Лист30</vt:lpstr>
      <vt:lpstr>Лист31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 Ficta</dc:creator>
  <cp:lastModifiedBy>Avis Ficta</cp:lastModifiedBy>
  <dcterms:created xsi:type="dcterms:W3CDTF">2015-06-05T18:19:34Z</dcterms:created>
  <dcterms:modified xsi:type="dcterms:W3CDTF">2026-03-31T21:23:12Z</dcterms:modified>
</cp:coreProperties>
</file>